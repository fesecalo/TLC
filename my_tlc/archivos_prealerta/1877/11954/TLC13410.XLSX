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E182269-9C10-4129-8059-6D534D0C9F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0" i="1" l="1"/>
  <c r="K25" i="1" s="1"/>
  <c r="B25" i="1"/>
</calcChain>
</file>

<file path=xl/sharedStrings.xml><?xml version="1.0" encoding="utf-8"?>
<sst xmlns="http://schemas.openxmlformats.org/spreadsheetml/2006/main" count="56" uniqueCount="49">
  <si>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</si>
  <si>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</si>
  <si>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</si>
  <si>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</si>
  <si>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</si>
  <si>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</si>
  <si>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</si>
  <si>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</si>
  <si>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</si>
  <si>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</si>
  <si>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</si>
  <si>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</si>
  <si>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</si>
  <si>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</si>
  <si>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</si>
  <si>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</si>
  <si>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</si>
  <si>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</si>
  <si>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</si>
  <si>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</si>
  <si>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</si>
  <si>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</si>
  <si>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</si>
  <si>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</si>
  <si>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</si>
  <si>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</si>
  <si>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</si>
  <si>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</si>
  <si>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</si>
  <si>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</si>
  <si>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</si>
  <si>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</si>
  <si>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</si>
  <si>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</si>
  <si>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</si>
  <si>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</si>
  <si>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</si>
  <si>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</si>
  <si>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</si>
  <si>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</si>
  <si>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</si>
  <si>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</si>
  <si>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</si>
  <si>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</si>
  <si>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02-19-2023</t>
  </si>
  <si>
    <t>1 lbs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</si>
  <si>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02/19/2023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</si>
  <si>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293201601</t>
    </r>
  </si>
  <si>
    <t>Cartera para CD de Case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</si>
</sst>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5" xfId="0" applyFont="1" applyBorder="1"/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</cellXfs>
  <cellStyles count="3">
    <cellStyle name="AFE" xfId="2" xr:uid="{F4341877-F183-44B2-96AD-4FFC5F85520E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" name="Group 67">
          <a:extLst>
            <a:ext uri="{FF2B5EF4-FFF2-40B4-BE49-F238E27FC236}">
              <a16:creationId xmlns:a16="http://schemas.microsoft.com/office/drawing/2014/main" id="{2DE53DA4-451B-4656-AB2D-D7A5BE939616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1A9355C5-E0E9-0C6C-D680-0D4390CD06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EB3E2AB8-7487-144D-6C54-3F15FF1224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5" name="Group 67">
          <a:extLst>
            <a:ext uri="{FF2B5EF4-FFF2-40B4-BE49-F238E27FC236}">
              <a16:creationId xmlns:a16="http://schemas.microsoft.com/office/drawing/2014/main" id="{A67664B8-ECD3-4D02-A1C2-25B9F498181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9CDCEDD8-FF96-95BE-B7F3-C792F43604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319C9DBE-EE6E-292E-CA73-DB2560090A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8" name="Group 67">
          <a:extLst>
            <a:ext uri="{FF2B5EF4-FFF2-40B4-BE49-F238E27FC236}">
              <a16:creationId xmlns:a16="http://schemas.microsoft.com/office/drawing/2014/main" id="{33A112D9-80E4-4F22-91F3-702C7856F076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1A5EF669-3DFE-FFD0-2493-DA5054E55D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C9CA531B-CB1D-550F-50AF-A4FFD61C51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1" name="Group 67">
          <a:extLst>
            <a:ext uri="{FF2B5EF4-FFF2-40B4-BE49-F238E27FC236}">
              <a16:creationId xmlns:a16="http://schemas.microsoft.com/office/drawing/2014/main" id="{8CF0C308-7378-4084-955A-811B15672658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8FCA7BAC-3169-3B50-2EB2-408E206E47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13A00E5-5D7F-9CAD-1AAC-805D05BC60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32</xdr:row>
      <xdr:rowOff>0</xdr:rowOff>
    </xdr:from>
    <xdr:to>
      <xdr:col>1</xdr:col>
      <xdr:colOff>485775</xdr:colOff>
      <xdr:row>34</xdr:row>
      <xdr:rowOff>171450</xdr:rowOff>
    </xdr:to>
    <xdr:grpSp>
      <xdr:nvGrpSpPr>
        <xdr:cNvPr id="14" name="Group 67">
          <a:extLst>
            <a:ext uri="{FF2B5EF4-FFF2-40B4-BE49-F238E27FC236}">
              <a16:creationId xmlns:a16="http://schemas.microsoft.com/office/drawing/2014/main" id="{E4316760-F030-44D5-9F80-47DBECB5F95B}"/>
            </a:ext>
          </a:extLst>
        </xdr:cNvPr>
        <xdr:cNvGrpSpPr>
          <a:grpSpLocks/>
        </xdr:cNvGrpSpPr>
      </xdr:nvGrpSpPr>
      <xdr:grpSpPr bwMode="auto">
        <a:xfrm>
          <a:off x="0" y="7458075"/>
          <a:ext cx="1247775" cy="552450"/>
          <a:chOff x="1078" y="49"/>
          <a:chExt cx="1970" cy="89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53C8BE93-EE78-0117-9ACC-7E6979F163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BC262146-7E88-8BB1-3A13-CFF1BA3F15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7" name="Group 67">
          <a:extLst>
            <a:ext uri="{FF2B5EF4-FFF2-40B4-BE49-F238E27FC236}">
              <a16:creationId xmlns:a16="http://schemas.microsoft.com/office/drawing/2014/main" id="{EA61FA4E-9D5E-4588-9C12-66D0D8C742D2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67424517-853E-C012-161C-6025911C4E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A9E6C4EB-1936-27B7-DFB6-9D2C8BD146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30</xdr:row>
      <xdr:rowOff>0</xdr:rowOff>
    </xdr:from>
    <xdr:to>
      <xdr:col>1</xdr:col>
      <xdr:colOff>485775</xdr:colOff>
      <xdr:row>32</xdr:row>
      <xdr:rowOff>171450</xdr:rowOff>
    </xdr:to>
    <xdr:grpSp>
      <xdr:nvGrpSpPr>
        <xdr:cNvPr id="20" name="Group 67">
          <a:extLst>
            <a:ext uri="{FF2B5EF4-FFF2-40B4-BE49-F238E27FC236}">
              <a16:creationId xmlns:a16="http://schemas.microsoft.com/office/drawing/2014/main" id="{EF34DC99-DC90-4732-85AE-7253DEB7084E}"/>
            </a:ext>
          </a:extLst>
        </xdr:cNvPr>
        <xdr:cNvGrpSpPr>
          <a:grpSpLocks/>
        </xdr:cNvGrpSpPr>
      </xdr:nvGrpSpPr>
      <xdr:grpSpPr bwMode="auto">
        <a:xfrm>
          <a:off x="0" y="7067550"/>
          <a:ext cx="1247775" cy="561975"/>
          <a:chOff x="1078" y="49"/>
          <a:chExt cx="1970" cy="892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F290CC62-1F3D-FC52-29F7-A50CCCAAEF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E5EB2B14-0D62-FA87-0D9C-DCB79ED39D6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3" name="Group 67">
          <a:extLst>
            <a:ext uri="{FF2B5EF4-FFF2-40B4-BE49-F238E27FC236}">
              <a16:creationId xmlns:a16="http://schemas.microsoft.com/office/drawing/2014/main" id="{FCA26CB2-2841-4EF9-92A1-C29ABC154F8B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7A9BED59-4C9C-18BE-CD3F-904F36B766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DED7C568-24AD-42D5-54DC-5D0F4A4DA6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3" workbookViewId="0">
      <selection activeCell="I21" sqref="I21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74" t="s">
        <v>3</v>
      </c>
      <c r="J3" s="74"/>
      <c r="K3" s="75"/>
    </row>
    <row r="4" spans="1:12" ht="18.75" x14ac:dyDescent="0.4">
      <c r="A4" s="9"/>
      <c r="B4" s="5"/>
      <c r="C4" s="5"/>
      <c r="D4" s="5"/>
      <c r="E4" s="5"/>
      <c r="F4" s="5"/>
      <c r="G4" s="5"/>
      <c r="H4" s="5"/>
      <c r="I4" s="76">
        <v>293201601</v>
      </c>
      <c r="J4" s="77"/>
      <c r="K4" s="78"/>
    </row>
    <row r="5" spans="1:12" ht="19.5" thickBot="1" x14ac:dyDescent="0.45">
      <c r="A5" s="9"/>
      <c r="B5" s="5"/>
      <c r="C5" s="5"/>
      <c r="D5" s="5"/>
      <c r="E5" s="5"/>
      <c r="F5" s="5"/>
      <c r="G5" s="5"/>
      <c r="H5" s="5"/>
      <c r="I5" s="79"/>
      <c r="J5" s="74"/>
      <c r="K5" s="75"/>
    </row>
    <row r="6" spans="1:12" ht="18.75" x14ac:dyDescent="0.4">
      <c r="A6" s="10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1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1"/>
      <c r="B8" s="12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1"/>
      <c r="B9" s="12">
        <v>1056223</v>
      </c>
      <c r="E9" s="5"/>
      <c r="F9" s="5"/>
      <c r="G9" s="5"/>
      <c r="H9" s="13" t="s">
        <v>8</v>
      </c>
      <c r="I9" s="14" t="s">
        <v>9</v>
      </c>
      <c r="J9" s="14"/>
      <c r="K9" s="15" t="s">
        <v>10</v>
      </c>
    </row>
    <row r="10" spans="1:12" ht="19.5" thickBot="1" x14ac:dyDescent="0.45">
      <c r="A10" s="10" t="s">
        <v>11</v>
      </c>
      <c r="B10" s="12" t="s">
        <v>12</v>
      </c>
      <c r="E10" s="5"/>
      <c r="F10" s="5"/>
      <c r="G10" s="5"/>
      <c r="H10" s="16" t="s">
        <v>13</v>
      </c>
      <c r="I10" s="17" t="s">
        <v>13</v>
      </c>
      <c r="J10" s="18"/>
      <c r="K10" s="19"/>
    </row>
    <row r="11" spans="1:12" ht="18.75" x14ac:dyDescent="0.4">
      <c r="A11" s="11"/>
      <c r="B11" s="12" t="s">
        <v>14</v>
      </c>
      <c r="E11" s="5"/>
      <c r="F11" s="5"/>
      <c r="G11" s="5"/>
      <c r="H11" s="72">
        <v>1126234</v>
      </c>
      <c r="I11" s="68">
        <v>1126234</v>
      </c>
      <c r="J11" s="69"/>
      <c r="K11" s="80">
        <v>1</v>
      </c>
    </row>
    <row r="12" spans="1:12" ht="19.5" thickBot="1" x14ac:dyDescent="0.45">
      <c r="A12" s="9"/>
      <c r="B12" s="5"/>
      <c r="C12" s="5"/>
      <c r="D12" s="5"/>
      <c r="E12" s="5"/>
      <c r="F12" s="5"/>
      <c r="G12" s="5"/>
      <c r="H12" s="73"/>
      <c r="I12" s="70"/>
      <c r="J12" s="71"/>
      <c r="K12" s="73"/>
    </row>
    <row r="13" spans="1:12" x14ac:dyDescent="0.25">
      <c r="A13" s="21" t="s">
        <v>15</v>
      </c>
      <c r="B13" s="22"/>
      <c r="C13" s="23" t="s">
        <v>16</v>
      </c>
      <c r="D13" s="23" t="s">
        <v>17</v>
      </c>
      <c r="E13" s="23"/>
      <c r="F13" s="23" t="s">
        <v>18</v>
      </c>
      <c r="G13" s="23" t="s">
        <v>19</v>
      </c>
      <c r="H13" s="23" t="s">
        <v>20</v>
      </c>
      <c r="I13" s="23" t="s">
        <v>18</v>
      </c>
      <c r="J13" s="23" t="s">
        <v>21</v>
      </c>
      <c r="K13" s="24" t="s">
        <v>22</v>
      </c>
    </row>
    <row r="14" spans="1:12" ht="15.75" thickBot="1" x14ac:dyDescent="0.3">
      <c r="A14" s="25" t="s">
        <v>23</v>
      </c>
      <c r="B14" s="26"/>
      <c r="C14" s="26" t="s">
        <v>24</v>
      </c>
      <c r="D14" s="26" t="s">
        <v>25</v>
      </c>
      <c r="E14" s="26"/>
      <c r="F14" s="26" t="s">
        <v>26</v>
      </c>
      <c r="G14" s="26" t="s">
        <v>27</v>
      </c>
      <c r="H14" s="26" t="s">
        <v>24</v>
      </c>
      <c r="I14" s="26" t="s">
        <v>28</v>
      </c>
      <c r="J14" s="26" t="s">
        <v>29</v>
      </c>
      <c r="K14" s="27"/>
      <c r="L14" s="28"/>
    </row>
    <row r="15" spans="1:12" ht="15.75" thickBot="1" x14ac:dyDescent="0.3">
      <c r="A15" s="81" t="s">
        <v>30</v>
      </c>
      <c r="B15" s="82"/>
      <c r="C15" s="29" t="s">
        <v>44</v>
      </c>
      <c r="D15" s="30">
        <v>1</v>
      </c>
      <c r="E15" s="30" t="s">
        <v>31</v>
      </c>
      <c r="F15" s="31">
        <v>18</v>
      </c>
      <c r="G15" s="32"/>
      <c r="H15" s="29" t="s">
        <v>44</v>
      </c>
      <c r="I15" s="30" t="s">
        <v>32</v>
      </c>
      <c r="J15" s="33">
        <v>1</v>
      </c>
      <c r="K15" s="34" t="s">
        <v>45</v>
      </c>
    </row>
    <row r="16" spans="1:12" x14ac:dyDescent="0.25">
      <c r="A16" s="35"/>
      <c r="B16" s="36"/>
      <c r="C16" s="37" t="s">
        <v>33</v>
      </c>
      <c r="D16" s="37" t="s">
        <v>34</v>
      </c>
      <c r="E16" s="38"/>
      <c r="F16" s="38"/>
      <c r="G16" s="38"/>
      <c r="H16" s="39"/>
      <c r="I16" s="40"/>
      <c r="J16" s="41"/>
      <c r="K16" s="41"/>
    </row>
    <row r="17" spans="1:11" x14ac:dyDescent="0.25">
      <c r="A17" s="11"/>
      <c r="B17" s="42"/>
      <c r="C17" s="43" t="s">
        <v>35</v>
      </c>
      <c r="D17" s="43" t="s">
        <v>36</v>
      </c>
      <c r="E17" s="43"/>
      <c r="F17" s="44"/>
      <c r="G17" s="44"/>
      <c r="H17" s="45"/>
      <c r="I17" s="40"/>
      <c r="J17" s="41"/>
      <c r="K17" s="41"/>
    </row>
    <row r="18" spans="1:11" x14ac:dyDescent="0.25">
      <c r="B18" s="42"/>
      <c r="C18" s="43" t="s">
        <v>33</v>
      </c>
      <c r="D18" s="43" t="s">
        <v>34</v>
      </c>
      <c r="G18" s="44"/>
      <c r="H18" s="45"/>
      <c r="I18" s="40"/>
      <c r="J18" s="41"/>
      <c r="K18" s="41"/>
    </row>
    <row r="19" spans="1:11" x14ac:dyDescent="0.25">
      <c r="B19" s="42"/>
      <c r="C19" s="43"/>
      <c r="D19" s="43"/>
      <c r="G19" s="44"/>
      <c r="H19" s="45"/>
      <c r="I19" s="40"/>
      <c r="J19" s="44"/>
      <c r="K19" s="41"/>
    </row>
    <row r="20" spans="1:11" x14ac:dyDescent="0.25">
      <c r="B20" s="42">
        <v>2</v>
      </c>
      <c r="C20" t="s">
        <v>48</v>
      </c>
      <c r="D20" s="43"/>
      <c r="G20" s="44"/>
      <c r="H20" s="45"/>
      <c r="I20" s="40">
        <v>12.99</v>
      </c>
      <c r="J20" s="44"/>
      <c r="K20" s="41">
        <f>I20*B20</f>
        <v>25.98</v>
      </c>
    </row>
    <row r="21" spans="1:11" x14ac:dyDescent="0.25">
      <c r="A21" s="11"/>
      <c r="B21" s="42"/>
      <c r="E21" s="43"/>
      <c r="F21" s="44"/>
      <c r="G21" s="44"/>
      <c r="H21" s="45"/>
      <c r="I21" s="40"/>
      <c r="J21" s="46"/>
      <c r="K21" s="41"/>
    </row>
    <row r="22" spans="1:11" x14ac:dyDescent="0.25">
      <c r="A22" s="11"/>
      <c r="B22" s="42"/>
      <c r="E22" s="43"/>
      <c r="F22" s="44"/>
      <c r="G22" s="44"/>
      <c r="H22" s="45"/>
      <c r="I22" s="40"/>
      <c r="J22" s="46"/>
      <c r="K22" s="41"/>
    </row>
    <row r="23" spans="1:11" x14ac:dyDescent="0.25">
      <c r="A23" s="11"/>
      <c r="B23" s="20"/>
      <c r="C23" s="47"/>
      <c r="E23" s="43"/>
      <c r="F23" s="44"/>
      <c r="G23" s="44"/>
      <c r="H23" s="45"/>
      <c r="I23" s="40"/>
      <c r="J23" s="46"/>
      <c r="K23" s="48"/>
    </row>
    <row r="24" spans="1:11" ht="15.75" thickBot="1" x14ac:dyDescent="0.3">
      <c r="A24" s="49"/>
      <c r="B24" s="50"/>
      <c r="C24" s="18"/>
      <c r="D24" s="51"/>
      <c r="E24" s="18"/>
      <c r="F24" s="52"/>
      <c r="G24" s="52"/>
      <c r="H24" s="53"/>
      <c r="I24" s="19"/>
      <c r="J24" s="41"/>
      <c r="K24" s="41"/>
    </row>
    <row r="25" spans="1:11" x14ac:dyDescent="0.25">
      <c r="A25" s="54" t="s">
        <v>37</v>
      </c>
      <c r="B25">
        <f>SUM(B17:B24)</f>
        <v>2</v>
      </c>
      <c r="G25" s="66"/>
      <c r="H25" s="67"/>
      <c r="I25" s="68" t="s">
        <v>38</v>
      </c>
      <c r="J25" s="69"/>
      <c r="K25" s="72">
        <f>SUM(K17:K23)</f>
        <v>25.98</v>
      </c>
    </row>
    <row r="26" spans="1:11" ht="15.75" thickBot="1" x14ac:dyDescent="0.3">
      <c r="A26" s="54" t="s">
        <v>39</v>
      </c>
      <c r="G26" s="66"/>
      <c r="H26" s="67"/>
      <c r="I26" s="70"/>
      <c r="J26" s="71"/>
      <c r="K26" s="73"/>
    </row>
    <row r="27" spans="1:11" x14ac:dyDescent="0.25">
      <c r="A27" s="55" t="s">
        <v>40</v>
      </c>
    </row>
    <row r="28" spans="1:11" ht="15.75" thickBot="1" x14ac:dyDescent="0.3">
      <c r="A28" s="55" t="s">
        <v>41</v>
      </c>
    </row>
    <row r="29" spans="1:11" x14ac:dyDescent="0.25">
      <c r="I29" s="56" t="s">
        <v>46</v>
      </c>
      <c r="J29" s="57"/>
      <c r="K29" s="58"/>
    </row>
    <row r="30" spans="1:11" ht="20.25" x14ac:dyDescent="0.25">
      <c r="A30" s="59" t="s">
        <v>0</v>
      </c>
      <c r="I30" s="60" t="s">
        <v>42</v>
      </c>
      <c r="K30" s="61"/>
    </row>
    <row r="31" spans="1:11" x14ac:dyDescent="0.25">
      <c r="I31" s="62" t="s">
        <v>43</v>
      </c>
      <c r="J31" s="63"/>
      <c r="K31" s="61"/>
    </row>
    <row r="32" spans="1:11" ht="15.75" thickBot="1" x14ac:dyDescent="0.3">
      <c r="I32" s="64" t="s">
        <v>47</v>
      </c>
      <c r="J32" s="18"/>
      <c r="K32" s="65"/>
    </row>
  </sheetData>
  <mergeCells count="10">
    <mergeCell ref="A15:B15"/>
    <mergeCell ref="G25:G26"/>
    <mergeCell ref="H25:H26"/>
    <mergeCell ref="I25:J26"/>
    <mergeCell ref="K25:K26"/>
    <mergeCell ref="I3:K3"/>
    <mergeCell ref="I4:K5"/>
    <mergeCell ref="H11:H12"/>
    <mergeCell ref="I11:J12"/>
    <mergeCell ref="K11:K12"/>
  </mergeCells>
  <pageMargins left="0.7" right="0.7" top="0.75" bottom="0.75" header="0.3" footer="0.3"/>
  <pageSetup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2023-02-24T00:45:48Z</dcterms:modified>
</cp:coreProperties>
</file>