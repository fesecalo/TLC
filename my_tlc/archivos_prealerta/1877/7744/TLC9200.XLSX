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filterPrivacy="1" defaultThemeVersion="124226"/>
  <xr:revisionPtr revIDLastSave="0" documentId="8_{A202E9BE-DD61-4101-937D-89F3D6725175}" xr6:coauthVersionLast="47" xr6:coauthVersionMax="47" xr10:uidLastSave="{00000000-0000-0000-0000-000000000000}"/>
  <bookViews>
    <workbookView xWindow="20370" yWindow="-120" windowWidth="20730" windowHeight="11160" activeTab="1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6" i="2" l="1"/>
  <c r="K21" i="2"/>
  <c r="K26" i="2"/>
  <c r="B28" i="1" l="1"/>
  <c r="K20" i="1"/>
  <c r="K28" i="1" l="1"/>
</calcChain>
</file>

<file path=xl/sharedStrings.xml><?xml version="1.0" encoding="utf-8"?>
<sst xmlns="http://schemas.openxmlformats.org/spreadsheetml/2006/main" count="108" uniqueCount="52">
  <si>
    <t>INGRAM</t>
  </si>
  <si>
    <t>5010 TUGGLE ROAD</t>
  </si>
  <si>
    <t>MEMPHIS ,TH 38118</t>
  </si>
  <si>
    <t>INVOICE NUMBERS</t>
  </si>
  <si>
    <t xml:space="preserve">SOLD TO </t>
  </si>
  <si>
    <t>TLC COURRIER C/O oreval s.a.</t>
  </si>
  <si>
    <t>8256 NW  30TH TERRACE</t>
  </si>
  <si>
    <t>MIAMI , FL 33122</t>
  </si>
  <si>
    <t>CUSRTOMER</t>
  </si>
  <si>
    <t>REFERENCE</t>
  </si>
  <si>
    <t>PAGE</t>
  </si>
  <si>
    <t>BILL TO</t>
  </si>
  <si>
    <t>OREVAL S.A.</t>
  </si>
  <si>
    <t xml:space="preserve"> NUMBER</t>
  </si>
  <si>
    <t>PLACER 780</t>
  </si>
  <si>
    <t>ORDER</t>
  </si>
  <si>
    <t>CR</t>
  </si>
  <si>
    <t>SHIP</t>
  </si>
  <si>
    <t>CARRIER</t>
  </si>
  <si>
    <t xml:space="preserve">INVOICE </t>
  </si>
  <si>
    <t>BOX</t>
  </si>
  <si>
    <t>WEIGHT</t>
  </si>
  <si>
    <t>ORDER NUMBERS</t>
  </si>
  <si>
    <t>DATE</t>
  </si>
  <si>
    <t>CD</t>
  </si>
  <si>
    <t>LOC</t>
  </si>
  <si>
    <t>SEQUENSE</t>
  </si>
  <si>
    <t xml:space="preserve">VIA </t>
  </si>
  <si>
    <t>COUNT</t>
  </si>
  <si>
    <t>000135-02</t>
  </si>
  <si>
    <t>CHARGE</t>
  </si>
  <si>
    <t>UPS</t>
  </si>
  <si>
    <t>**************</t>
  </si>
  <si>
    <t>***************</t>
  </si>
  <si>
    <t>*          PRE</t>
  </si>
  <si>
    <t xml:space="preserve">BOOK </t>
  </si>
  <si>
    <t>DIGITAL VIDEO DISC</t>
  </si>
  <si>
    <t>TOTAL AMOUNT</t>
  </si>
  <si>
    <t>ORDER NUMBER         000135-012</t>
  </si>
  <si>
    <r>
      <t>IN</t>
    </r>
    <r>
      <rPr>
        <b/>
        <sz val="8"/>
        <color rgb="FF111111"/>
        <rFont val="Arial"/>
        <family val="2"/>
      </rPr>
      <t>G</t>
    </r>
    <r>
      <rPr>
        <b/>
        <sz val="8"/>
        <color rgb="FF000000"/>
        <rFont val="Arial"/>
        <family val="2"/>
      </rPr>
      <t>RAM                  ORDER           CR                                       SHIP           CARRIER             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                     SHIPVIA                       BOX                  WEIGHT ORDER NUMBER              DATE                 CD                                                      LOC            SEQUENCE                    DATE                                                                                COUNT</t>
    </r>
  </si>
  <si>
    <r>
      <t>Rec</t>
    </r>
    <r>
      <rPr>
        <sz val="7.5"/>
        <color rgb="FF242424"/>
        <rFont val="Arial"/>
        <family val="2"/>
      </rPr>
      <t>eive</t>
    </r>
    <r>
      <rPr>
        <sz val="7.5"/>
        <color rgb="FF000000"/>
        <rFont val="Arial"/>
        <family val="2"/>
      </rPr>
      <t xml:space="preserve">d </t>
    </r>
    <r>
      <rPr>
        <sz val="8"/>
        <color rgb="FF111111"/>
        <rFont val="Arial"/>
        <family val="2"/>
      </rPr>
      <t>By</t>
    </r>
    <r>
      <rPr>
        <sz val="8"/>
        <color rgb="FF000000"/>
        <rFont val="Arial"/>
        <family val="2"/>
      </rPr>
      <t xml:space="preserve">:                                                                                                                                                                  </t>
    </r>
  </si>
  <si>
    <r>
      <t xml:space="preserve">A </t>
    </r>
    <r>
      <rPr>
        <sz val="7.5"/>
        <color rgb="FF000000"/>
        <rFont val="Arial"/>
        <family val="2"/>
      </rPr>
      <t>la</t>
    </r>
    <r>
      <rPr>
        <sz val="7.5"/>
        <color rgb="FF111111"/>
        <rFont val="Arial"/>
        <family val="2"/>
      </rPr>
      <t>t</t>
    </r>
    <r>
      <rPr>
        <sz val="7.5"/>
        <color rgb="FF242424"/>
        <rFont val="Arial"/>
        <family val="2"/>
      </rPr>
      <t>e c</t>
    </r>
    <r>
      <rPr>
        <sz val="7.5"/>
        <color rgb="FF000000"/>
        <rFont val="Arial"/>
        <family val="2"/>
      </rPr>
      <t>h</t>
    </r>
    <r>
      <rPr>
        <sz val="7.5"/>
        <color rgb="FF111111"/>
        <rFont val="Arial"/>
        <family val="2"/>
      </rPr>
      <t>a</t>
    </r>
    <r>
      <rPr>
        <sz val="7.5"/>
        <color rgb="FF000000"/>
        <rFont val="Arial"/>
        <family val="2"/>
      </rPr>
      <t xml:space="preserve">r </t>
    </r>
    <r>
      <rPr>
        <sz val="9"/>
        <color rgb="FF111111"/>
        <rFont val="Times New Roman"/>
        <family val="1"/>
      </rPr>
      <t xml:space="preserve">g </t>
    </r>
    <r>
      <rPr>
        <sz val="7.5"/>
        <color rgb="FF000000"/>
        <rFont val="Arial"/>
        <family val="2"/>
      </rPr>
      <t xml:space="preserve">e  </t>
    </r>
    <r>
      <rPr>
        <sz val="7.5"/>
        <color rgb="FF111111"/>
        <rFont val="Arial"/>
        <family val="2"/>
      </rPr>
      <t>o</t>
    </r>
    <r>
      <rPr>
        <sz val="7.5"/>
        <color rgb="FF000000"/>
        <rFont val="Arial"/>
        <family val="2"/>
      </rPr>
      <t xml:space="preserve">f 1  </t>
    </r>
    <r>
      <rPr>
        <sz val="7.5"/>
        <color rgb="FF3D3D3D"/>
        <rFont val="Arial"/>
        <family val="2"/>
      </rPr>
      <t>.</t>
    </r>
    <r>
      <rPr>
        <sz val="7.5"/>
        <color rgb="FF111111"/>
        <rFont val="Arial"/>
        <family val="2"/>
      </rPr>
      <t xml:space="preserve">5% </t>
    </r>
    <r>
      <rPr>
        <sz val="9"/>
        <color rgb="FF111111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e</t>
    </r>
    <r>
      <rPr>
        <sz val="7.5"/>
        <color rgb="FF111111"/>
        <rFont val="Arial"/>
        <family val="2"/>
      </rPr>
      <t>r mon</t>
    </r>
    <r>
      <rPr>
        <sz val="7.5"/>
        <color rgb="FF000000"/>
        <rFont val="Arial"/>
        <family val="2"/>
      </rPr>
      <t xml:space="preserve">th  </t>
    </r>
    <r>
      <rPr>
        <sz val="7.5"/>
        <color rgb="FF242424"/>
        <rFont val="Arial"/>
        <family val="2"/>
      </rPr>
      <t>(</t>
    </r>
    <r>
      <rPr>
        <sz val="7.5"/>
        <color rgb="FF111111"/>
        <rFont val="Arial"/>
        <family val="2"/>
      </rPr>
      <t>19% A</t>
    </r>
    <r>
      <rPr>
        <sz val="7.5"/>
        <color rgb="FF000000"/>
        <rFont val="Arial"/>
        <family val="2"/>
      </rPr>
      <t>P</t>
    </r>
    <r>
      <rPr>
        <sz val="7.5"/>
        <color rgb="FF111111"/>
        <rFont val="Arial"/>
        <family val="2"/>
      </rPr>
      <t>R</t>
    </r>
    <r>
      <rPr>
        <sz val="7.5"/>
        <color rgb="FF242424"/>
        <rFont val="Arial"/>
        <family val="2"/>
      </rPr>
      <t xml:space="preserve">) </t>
    </r>
    <r>
      <rPr>
        <sz val="7.5"/>
        <color rgb="FF111111"/>
        <rFont val="Arial"/>
        <family val="2"/>
      </rPr>
      <t>w</t>
    </r>
    <r>
      <rPr>
        <sz val="7.5"/>
        <color rgb="FF000000"/>
        <rFont val="Arial"/>
        <family val="2"/>
      </rPr>
      <t xml:space="preserve">ill  </t>
    </r>
    <r>
      <rPr>
        <sz val="7.5"/>
        <color rgb="FF111111"/>
        <rFont val="Arial"/>
        <family val="2"/>
      </rPr>
      <t xml:space="preserve">be </t>
    </r>
    <r>
      <rPr>
        <sz val="7.5"/>
        <color rgb="FF242424"/>
        <rFont val="Arial"/>
        <family val="2"/>
      </rPr>
      <t xml:space="preserve">a </t>
    </r>
    <r>
      <rPr>
        <sz val="9"/>
        <color rgb="FF111111"/>
        <rFont val="Times New Roman"/>
        <family val="1"/>
      </rPr>
      <t xml:space="preserve">pp </t>
    </r>
    <r>
      <rPr>
        <sz val="7.5"/>
        <color rgb="FF000000"/>
        <rFont val="Arial"/>
        <family val="2"/>
      </rPr>
      <t>li</t>
    </r>
    <r>
      <rPr>
        <sz val="7.5"/>
        <color rgb="FF242424"/>
        <rFont val="Arial"/>
        <family val="2"/>
      </rPr>
      <t>e</t>
    </r>
    <r>
      <rPr>
        <sz val="7.5"/>
        <color rgb="FF000000"/>
        <rFont val="Arial"/>
        <family val="2"/>
      </rPr>
      <t>d t</t>
    </r>
    <r>
      <rPr>
        <sz val="7.5"/>
        <color rgb="FF242424"/>
        <rFont val="Arial"/>
        <family val="2"/>
      </rPr>
      <t xml:space="preserve">o </t>
    </r>
    <r>
      <rPr>
        <sz val="7.5"/>
        <color rgb="FF000000"/>
        <rFont val="Arial"/>
        <family val="2"/>
      </rPr>
      <t xml:space="preserve">all  </t>
    </r>
    <r>
      <rPr>
        <sz val="9"/>
        <color rgb="FF242424"/>
        <rFont val="Times New Roman"/>
        <family val="1"/>
      </rPr>
      <t xml:space="preserve">p </t>
    </r>
    <r>
      <rPr>
        <sz val="7.5"/>
        <color rgb="FF000000"/>
        <rFont val="Arial"/>
        <family val="2"/>
      </rPr>
      <t>a</t>
    </r>
    <r>
      <rPr>
        <sz val="7.5"/>
        <color rgb="FF242424"/>
        <rFont val="Arial"/>
        <family val="2"/>
      </rPr>
      <t>s</t>
    </r>
    <r>
      <rPr>
        <sz val="7.5"/>
        <color rgb="FF111111"/>
        <rFont val="Arial"/>
        <family val="2"/>
      </rPr>
      <t xml:space="preserve">t </t>
    </r>
    <r>
      <rPr>
        <sz val="7.5"/>
        <color rgb="FF242424"/>
        <rFont val="Arial"/>
        <family val="2"/>
      </rPr>
      <t>d</t>
    </r>
    <r>
      <rPr>
        <sz val="7.5"/>
        <color rgb="FF000000"/>
        <rFont val="Arial"/>
        <family val="2"/>
      </rPr>
      <t>u</t>
    </r>
    <r>
      <rPr>
        <sz val="7.5"/>
        <color rgb="FF242424"/>
        <rFont val="Arial"/>
        <family val="2"/>
      </rPr>
      <t xml:space="preserve">e  </t>
    </r>
    <r>
      <rPr>
        <sz val="7.5"/>
        <color rgb="FF000000"/>
        <rFont val="Arial"/>
        <family val="2"/>
      </rPr>
      <t>in</t>
    </r>
    <r>
      <rPr>
        <sz val="7.5"/>
        <color rgb="FF242424"/>
        <rFont val="Arial"/>
        <family val="2"/>
      </rPr>
      <t>v</t>
    </r>
    <r>
      <rPr>
        <sz val="7.5"/>
        <color rgb="FF111111"/>
        <rFont val="Arial"/>
        <family val="2"/>
      </rPr>
      <t>oi</t>
    </r>
    <r>
      <rPr>
        <sz val="7.5"/>
        <color rgb="FF242424"/>
        <rFont val="Arial"/>
        <family val="2"/>
      </rPr>
      <t>c</t>
    </r>
    <r>
      <rPr>
        <sz val="7.5"/>
        <color rgb="FF000000"/>
        <rFont val="Arial"/>
        <family val="2"/>
      </rPr>
      <t>e</t>
    </r>
    <r>
      <rPr>
        <sz val="7.5"/>
        <color rgb="FF242424"/>
        <rFont val="Arial"/>
        <family val="2"/>
      </rPr>
      <t>s</t>
    </r>
    <r>
      <rPr>
        <sz val="7.5"/>
        <color rgb="FF000000"/>
        <rFont val="Arial"/>
        <family val="2"/>
      </rPr>
      <t xml:space="preserve">.                                                                                         </t>
    </r>
    <r>
      <rPr>
        <b/>
        <sz val="8"/>
        <color rgb="FF000000"/>
        <rFont val="Arial"/>
        <family val="2"/>
      </rPr>
      <t>AMOUNT</t>
    </r>
  </si>
  <si>
    <r>
      <t>T</t>
    </r>
    <r>
      <rPr>
        <sz val="9.5"/>
        <color rgb="FF242424"/>
        <rFont val="Courier New"/>
        <family val="3"/>
      </rPr>
      <t xml:space="preserve">WO </t>
    </r>
    <r>
      <rPr>
        <sz val="9.5"/>
        <color rgb="FF111111"/>
        <rFont val="Courier New"/>
        <family val="3"/>
      </rPr>
      <t>IN</t>
    </r>
    <r>
      <rPr>
        <sz val="9.5"/>
        <color rgb="FF242424"/>
        <rFont val="Courier New"/>
        <family val="3"/>
      </rPr>
      <t xml:space="preserve">GRAM </t>
    </r>
    <r>
      <rPr>
        <sz val="9.5"/>
        <color rgb="FF111111"/>
        <rFont val="Courier New"/>
        <family val="3"/>
      </rPr>
      <t>B</t>
    </r>
    <r>
      <rPr>
        <sz val="9.5"/>
        <color rgb="FF000000"/>
        <rFont val="Courier New"/>
        <family val="3"/>
      </rPr>
      <t>L</t>
    </r>
    <r>
      <rPr>
        <sz val="9.5"/>
        <color rgb="FF242424"/>
        <rFont val="Courier New"/>
        <family val="3"/>
      </rPr>
      <t>V</t>
    </r>
    <r>
      <rPr>
        <sz val="9.5"/>
        <color rgb="FF111111"/>
        <rFont val="Courier New"/>
        <family val="3"/>
      </rPr>
      <t>D</t>
    </r>
    <r>
      <rPr>
        <sz val="9.5"/>
        <color rgb="FF000000"/>
        <rFont val="Courier New"/>
        <family val="3"/>
      </rPr>
      <t>.</t>
    </r>
  </si>
  <si>
    <r>
      <t>L</t>
    </r>
    <r>
      <rPr>
        <sz val="9.5"/>
        <color rgb="FF242424"/>
        <rFont val="Courier New"/>
        <family val="3"/>
      </rPr>
      <t>A V</t>
    </r>
    <r>
      <rPr>
        <sz val="9.5"/>
        <color rgb="FF000000"/>
        <rFont val="Courier New"/>
        <family val="3"/>
      </rPr>
      <t>E</t>
    </r>
    <r>
      <rPr>
        <sz val="9.5"/>
        <color rgb="FF242424"/>
        <rFont val="Courier New"/>
        <family val="3"/>
      </rPr>
      <t>RG</t>
    </r>
    <r>
      <rPr>
        <sz val="9.5"/>
        <color rgb="FF111111"/>
        <rFont val="Courier New"/>
        <family val="3"/>
      </rPr>
      <t>N</t>
    </r>
    <r>
      <rPr>
        <sz val="9.5"/>
        <color rgb="FF000000"/>
        <rFont val="Courier New"/>
        <family val="3"/>
      </rPr>
      <t>E</t>
    </r>
    <r>
      <rPr>
        <sz val="9.5"/>
        <color rgb="FF111111"/>
        <rFont val="Courier New"/>
        <family val="3"/>
      </rPr>
      <t xml:space="preserve">,  </t>
    </r>
    <r>
      <rPr>
        <sz val="9.5"/>
        <color rgb="FF000000"/>
        <rFont val="Courier New"/>
        <family val="3"/>
      </rPr>
      <t>T</t>
    </r>
    <r>
      <rPr>
        <sz val="9.5"/>
        <color rgb="FF111111"/>
        <rFont val="Courier New"/>
        <family val="3"/>
      </rPr>
      <t xml:space="preserve">N </t>
    </r>
    <r>
      <rPr>
        <sz val="9.5"/>
        <color rgb="FF242424"/>
        <rFont val="Courier New"/>
        <family val="3"/>
      </rPr>
      <t>37089</t>
    </r>
  </si>
  <si>
    <r>
      <t>C</t>
    </r>
    <r>
      <rPr>
        <b/>
        <sz val="8"/>
        <color rgb="FF000000"/>
        <rFont val="Arial"/>
        <family val="2"/>
      </rPr>
      <t>USTOMER NO</t>
    </r>
    <r>
      <rPr>
        <b/>
        <sz val="8"/>
        <color rgb="FF535353"/>
        <rFont val="Arial"/>
        <family val="2"/>
      </rPr>
      <t>.                1126234</t>
    </r>
  </si>
  <si>
    <t>PACK DIGITAL VIDEO DISC</t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</si>
  <si>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NUMBER       293201065</t>
    </r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</si>
  <si>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DATE           11/03/2022</t>
    </r>
  </si>
  <si>
    <t>1lbs</t>
  </si>
  <si>
    <t>2 lbs</t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</si>
  <si>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DATE           11/07/2022</t>
    </r>
  </si>
  <si>
    <r>
      <t>INVOI</t>
    </r>
    <r>
      <rPr>
        <b/>
        <sz val="8"/>
        <color rgb="FF111111"/>
        <rFont val="Arial"/>
        <family val="2"/>
      </rPr>
      <t>C</t>
    </r>
    <r>
      <rPr>
        <b/>
        <sz val="8"/>
        <color rgb="FF000000"/>
        <rFont val="Arial"/>
        <family val="2"/>
      </rPr>
      <t>E NUMBER       293201159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</si>
</sst>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_ &quot;$&quot;* #,##0.00_ ;_ &quot;$&quot;* \-#,##0.00_ ;_ &quot;$&quot;* &quot;-&quot;??_ ;_ @_ 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u/>
      <sz val="28"/>
      <color theme="1"/>
      <name val="Arial Black"/>
      <family val="2"/>
    </font>
    <font>
      <sz val="10"/>
      <name val="Arial"/>
      <family val="2"/>
    </font>
    <font>
      <sz val="10"/>
      <name val="Arial Black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111111"/>
      <name val="Arial"/>
      <family val="2"/>
    </font>
    <font>
      <b/>
      <sz val="8"/>
      <color rgb="FF000000"/>
      <name val="Arial"/>
      <family val="2"/>
    </font>
    <font>
      <sz val="8"/>
      <color theme="1"/>
      <name val="Book Antiqua"/>
      <family val="1"/>
    </font>
    <font>
      <b/>
      <sz val="8"/>
      <color rgb="FF242424"/>
      <name val="Tahoma"/>
      <family val="2"/>
    </font>
    <font>
      <sz val="7.5"/>
      <color rgb="FF111111"/>
      <name val="Arial"/>
      <family val="2"/>
    </font>
    <font>
      <sz val="7.5"/>
      <color rgb="FF242424"/>
      <name val="Arial"/>
      <family val="2"/>
    </font>
    <font>
      <sz val="7.5"/>
      <color rgb="FF000000"/>
      <name val="Arial"/>
      <family val="2"/>
    </font>
    <font>
      <sz val="8"/>
      <color rgb="FF111111"/>
      <name val="Arial"/>
      <family val="2"/>
    </font>
    <font>
      <sz val="8"/>
      <color rgb="FF000000"/>
      <name val="Arial"/>
      <family val="2"/>
    </font>
    <font>
      <sz val="9"/>
      <color rgb="FF111111"/>
      <name val="Times New Roman"/>
      <family val="1"/>
    </font>
    <font>
      <sz val="7.5"/>
      <color rgb="FF3D3D3D"/>
      <name val="Arial"/>
      <family val="2"/>
    </font>
    <font>
      <sz val="9"/>
      <color rgb="FF242424"/>
      <name val="Times New Roman"/>
      <family val="1"/>
    </font>
    <font>
      <sz val="9.5"/>
      <color theme="1"/>
      <name val="Courier New"/>
      <family val="3"/>
    </font>
    <font>
      <sz val="9.5"/>
      <color rgb="FF242424"/>
      <name val="Courier New"/>
      <family val="3"/>
    </font>
    <font>
      <sz val="9.5"/>
      <color rgb="FF111111"/>
      <name val="Courier New"/>
      <family val="3"/>
    </font>
    <font>
      <sz val="9.5"/>
      <color rgb="FF000000"/>
      <name val="Courier New"/>
      <family val="3"/>
    </font>
    <font>
      <b/>
      <sz val="16"/>
      <color theme="1"/>
      <name val="Arial"/>
      <family val="2"/>
    </font>
    <font>
      <b/>
      <sz val="8"/>
      <color rgb="FF535353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4" fillId="0" borderId="0"/>
  </cellStyleXfs>
  <cellXfs count="10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/>
    <xf numFmtId="0" fontId="2" fillId="0" borderId="0" xfId="0" applyFont="1" applyBorder="1"/>
    <xf numFmtId="0" fontId="5" fillId="0" borderId="0" xfId="2" applyFont="1" applyBorder="1"/>
    <xf numFmtId="0" fontId="2" fillId="0" borderId="4" xfId="0" applyFont="1" applyBorder="1"/>
    <xf numFmtId="0" fontId="3" fillId="0" borderId="5" xfId="0" applyFont="1" applyBorder="1"/>
    <xf numFmtId="0" fontId="2" fillId="0" borderId="5" xfId="0" applyFont="1" applyBorder="1"/>
    <xf numFmtId="0" fontId="6" fillId="0" borderId="5" xfId="0" applyFont="1" applyBorder="1"/>
    <xf numFmtId="0" fontId="0" fillId="0" borderId="0" xfId="0" applyFont="1" applyBorder="1"/>
    <xf numFmtId="0" fontId="0" fillId="0" borderId="5" xfId="0" applyFont="1" applyBorder="1"/>
    <xf numFmtId="0" fontId="7" fillId="0" borderId="0" xfId="2" applyFont="1" applyBorder="1" applyAlignment="1">
      <alignment horizontal="left"/>
    </xf>
    <xf numFmtId="0" fontId="0" fillId="0" borderId="9" xfId="0" applyFont="1" applyBorder="1"/>
    <xf numFmtId="0" fontId="0" fillId="0" borderId="2" xfId="0" applyFont="1" applyBorder="1"/>
    <xf numFmtId="0" fontId="7" fillId="0" borderId="9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8" fillId="0" borderId="0" xfId="2" applyFont="1" applyBorder="1" applyAlignment="1">
      <alignment horizontal="left"/>
    </xf>
    <xf numFmtId="0" fontId="0" fillId="0" borderId="6" xfId="0" applyFont="1" applyBorder="1"/>
    <xf numFmtId="0" fontId="0" fillId="0" borderId="10" xfId="0" applyFont="1" applyBorder="1"/>
    <xf numFmtId="0" fontId="9" fillId="0" borderId="0" xfId="0" applyFont="1" applyAlignment="1">
      <alignment horizontal="left" vertical="center" indent="2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0" borderId="3" xfId="0" applyFont="1" applyBorder="1"/>
    <xf numFmtId="0" fontId="12" fillId="0" borderId="5" xfId="0" applyFont="1" applyBorder="1"/>
    <xf numFmtId="0" fontId="12" fillId="0" borderId="0" xfId="0" applyFont="1" applyBorder="1"/>
    <xf numFmtId="0" fontId="12" fillId="0" borderId="4" xfId="0" applyFont="1" applyBorder="1"/>
    <xf numFmtId="0" fontId="9" fillId="0" borderId="0" xfId="0" applyFont="1" applyAlignment="1">
      <alignment horizontal="left" vertical="center" indent="1"/>
    </xf>
    <xf numFmtId="14" fontId="13" fillId="0" borderId="14" xfId="0" applyNumberFormat="1" applyFont="1" applyBorder="1"/>
    <xf numFmtId="0" fontId="12" fillId="0" borderId="1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0" fillId="0" borderId="1" xfId="0" applyBorder="1"/>
    <xf numFmtId="0" fontId="6" fillId="0" borderId="9" xfId="0" applyFont="1" applyBorder="1"/>
    <xf numFmtId="0" fontId="0" fillId="0" borderId="2" xfId="0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  <xf numFmtId="0" fontId="0" fillId="0" borderId="11" xfId="0" applyBorder="1" applyAlignment="1"/>
    <xf numFmtId="0" fontId="6" fillId="0" borderId="11" xfId="0" applyFont="1" applyBorder="1"/>
    <xf numFmtId="0" fontId="0" fillId="0" borderId="5" xfId="0" applyBorder="1"/>
    <xf numFmtId="0" fontId="6" fillId="0" borderId="1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6" fillId="0" borderId="0" xfId="0" applyFont="1" applyBorder="1"/>
    <xf numFmtId="0" fontId="6" fillId="0" borderId="4" xfId="0" applyFont="1" applyBorder="1"/>
    <xf numFmtId="0" fontId="0" fillId="0" borderId="0" xfId="0" applyBorder="1"/>
    <xf numFmtId="0" fontId="0" fillId="0" borderId="0" xfId="0" applyBorder="1" applyAlignment="1"/>
    <xf numFmtId="165" fontId="1" fillId="0" borderId="0" xfId="1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left"/>
    </xf>
    <xf numFmtId="164" fontId="6" fillId="0" borderId="11" xfId="0" applyNumberFormat="1" applyFont="1" applyBorder="1"/>
    <xf numFmtId="0" fontId="0" fillId="0" borderId="8" xfId="0" applyBorder="1"/>
    <xf numFmtId="0" fontId="6" fillId="0" borderId="10" xfId="0" applyFont="1" applyBorder="1"/>
    <xf numFmtId="0" fontId="0" fillId="0" borderId="6" xfId="0" applyBorder="1" applyAlignment="1"/>
    <xf numFmtId="0" fontId="0" fillId="0" borderId="6" xfId="0" applyBorder="1" applyAlignment="1">
      <alignment horizontal="left"/>
    </xf>
    <xf numFmtId="0" fontId="6" fillId="0" borderId="6" xfId="0" applyFont="1" applyBorder="1"/>
    <xf numFmtId="0" fontId="6" fillId="0" borderId="7" xfId="0" applyFont="1" applyBorder="1"/>
    <xf numFmtId="0" fontId="0" fillId="0" borderId="10" xfId="0" applyBorder="1" applyAlignment="1"/>
    <xf numFmtId="0" fontId="1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9" fillId="0" borderId="20" xfId="0" applyFont="1" applyBorder="1" applyAlignment="1">
      <alignment vertical="center"/>
    </xf>
    <xf numFmtId="14" fontId="13" fillId="0" borderId="2" xfId="0" applyNumberFormat="1" applyFont="1" applyBorder="1"/>
    <xf numFmtId="0" fontId="0" fillId="0" borderId="3" xfId="0" applyBorder="1"/>
    <xf numFmtId="0" fontId="26" fillId="0" borderId="0" xfId="0" applyFont="1" applyAlignment="1">
      <alignment vertical="center"/>
    </xf>
    <xf numFmtId="0" fontId="9" fillId="0" borderId="21" xfId="0" applyFont="1" applyBorder="1" applyAlignment="1">
      <alignment vertical="center"/>
    </xf>
    <xf numFmtId="0" fontId="0" fillId="0" borderId="4" xfId="0" applyBorder="1"/>
    <xf numFmtId="0" fontId="10" fillId="0" borderId="21" xfId="0" applyFont="1" applyBorder="1" applyAlignment="1">
      <alignment vertical="center"/>
    </xf>
    <xf numFmtId="0" fontId="28" fillId="0" borderId="0" xfId="0" applyFont="1" applyBorder="1"/>
    <xf numFmtId="0" fontId="9" fillId="0" borderId="22" xfId="0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3">
    <cellStyle name="AFE" xfId="2" xr:uid="{00000000-0005-0000-0000-000000000000}"/>
    <cellStyle name="Moneda" xfId="1" builtinId="4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" name="Group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5" name="Group 6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8" name="Group 6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11" name="Group 67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35</xdr:row>
      <xdr:rowOff>0</xdr:rowOff>
    </xdr:from>
    <xdr:to>
      <xdr:col>1</xdr:col>
      <xdr:colOff>485775</xdr:colOff>
      <xdr:row>37</xdr:row>
      <xdr:rowOff>171450</xdr:rowOff>
    </xdr:to>
    <xdr:grpSp>
      <xdr:nvGrpSpPr>
        <xdr:cNvPr id="14" name="Group 6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>
          <a:grpSpLocks/>
        </xdr:cNvGrpSpPr>
      </xdr:nvGrpSpPr>
      <xdr:grpSpPr bwMode="auto">
        <a:xfrm>
          <a:off x="0" y="8029575"/>
          <a:ext cx="1247775" cy="552450"/>
          <a:chOff x="1078" y="49"/>
          <a:chExt cx="1970" cy="892"/>
        </a:xfrm>
      </xdr:grpSpPr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17" name="Group 6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18" name="Imagen 17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9" name="Imagen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33</xdr:row>
      <xdr:rowOff>0</xdr:rowOff>
    </xdr:from>
    <xdr:to>
      <xdr:col>1</xdr:col>
      <xdr:colOff>485775</xdr:colOff>
      <xdr:row>35</xdr:row>
      <xdr:rowOff>171450</xdr:rowOff>
    </xdr:to>
    <xdr:grpSp>
      <xdr:nvGrpSpPr>
        <xdr:cNvPr id="20" name="Group 6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>
          <a:grpSpLocks/>
        </xdr:cNvGrpSpPr>
      </xdr:nvGrpSpPr>
      <xdr:grpSpPr bwMode="auto">
        <a:xfrm>
          <a:off x="0" y="7639050"/>
          <a:ext cx="1247775" cy="561975"/>
          <a:chOff x="1078" y="49"/>
          <a:chExt cx="1970" cy="892"/>
        </a:xfrm>
      </xdr:grpSpPr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" name="Imagen 21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3" name="Group 67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24" name="Imagen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" name="Group 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3" name="Imagen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4" name="Imagen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5" name="Group 6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7" name="Imagen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8" name="Group 6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11" name="Group 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33</xdr:row>
      <xdr:rowOff>0</xdr:rowOff>
    </xdr:from>
    <xdr:to>
      <xdr:col>1</xdr:col>
      <xdr:colOff>485775</xdr:colOff>
      <xdr:row>35</xdr:row>
      <xdr:rowOff>171450</xdr:rowOff>
    </xdr:to>
    <xdr:grpSp>
      <xdr:nvGrpSpPr>
        <xdr:cNvPr id="14" name="Group 67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pSpPr>
          <a:grpSpLocks/>
        </xdr:cNvGrpSpPr>
      </xdr:nvGrpSpPr>
      <xdr:grpSpPr bwMode="auto">
        <a:xfrm>
          <a:off x="0" y="7648575"/>
          <a:ext cx="1247775" cy="552450"/>
          <a:chOff x="1078" y="49"/>
          <a:chExt cx="1970" cy="892"/>
        </a:xfrm>
      </xdr:grpSpPr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17" name="Group 67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18" name="Imagen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19" name="Imagen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31</xdr:row>
      <xdr:rowOff>0</xdr:rowOff>
    </xdr:from>
    <xdr:to>
      <xdr:col>1</xdr:col>
      <xdr:colOff>485775</xdr:colOff>
      <xdr:row>33</xdr:row>
      <xdr:rowOff>171450</xdr:rowOff>
    </xdr:to>
    <xdr:grpSp>
      <xdr:nvGrpSpPr>
        <xdr:cNvPr id="20" name="Group 67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>
          <a:grpSpLocks/>
        </xdr:cNvGrpSpPr>
      </xdr:nvGrpSpPr>
      <xdr:grpSpPr bwMode="auto">
        <a:xfrm>
          <a:off x="0" y="7258050"/>
          <a:ext cx="1247775" cy="561975"/>
          <a:chOff x="1078" y="49"/>
          <a:chExt cx="1970" cy="892"/>
        </a:xfrm>
      </xdr:grpSpPr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2" name="Imagen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0</xdr:col>
      <xdr:colOff>0</xdr:colOff>
      <xdr:row>2</xdr:row>
      <xdr:rowOff>0</xdr:rowOff>
    </xdr:from>
    <xdr:to>
      <xdr:col>3</xdr:col>
      <xdr:colOff>0</xdr:colOff>
      <xdr:row>3</xdr:row>
      <xdr:rowOff>0</xdr:rowOff>
    </xdr:to>
    <xdr:grpSp>
      <xdr:nvGrpSpPr>
        <xdr:cNvPr id="23" name="Group 67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>
          <a:grpSpLocks/>
        </xdr:cNvGrpSpPr>
      </xdr:nvGrpSpPr>
      <xdr:grpSpPr bwMode="auto">
        <a:xfrm>
          <a:off x="0" y="790575"/>
          <a:ext cx="2286000" cy="552450"/>
          <a:chOff x="1078" y="49"/>
          <a:chExt cx="1970" cy="892"/>
        </a:xfrm>
      </xdr:grpSpPr>
      <xdr:pic>
        <xdr:nvPicPr>
          <xdr:cNvPr id="24" name="Imagen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33" y="49"/>
            <a:ext cx="1468" cy="33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078" y="402"/>
            <a:ext cx="1970" cy="53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workbookViewId="0">
      <selection activeCell="Q8" sqref="Q8"/>
    </sheetView>
  </sheetViews>
  <sheetFormatPr baseColWidth="10" defaultRowHeight="15" x14ac:dyDescent="0.25"/>
  <cols>
    <col min="5" max="5" width="8.5703125" customWidth="1"/>
    <col min="9" max="9" width="15.140625" customWidth="1"/>
    <col min="11" max="11" width="11.42578125" customWidth="1"/>
  </cols>
  <sheetData>
    <row r="1" spans="1:12" ht="19.5" thickBo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2" ht="42.75" x14ac:dyDescent="0.8">
      <c r="A2" s="4" t="s">
        <v>0</v>
      </c>
      <c r="B2" s="2"/>
      <c r="C2" s="3"/>
      <c r="D2" s="5"/>
      <c r="E2" s="6" t="s">
        <v>1</v>
      </c>
      <c r="F2" s="5"/>
      <c r="G2" s="5"/>
      <c r="H2" s="5"/>
      <c r="I2" s="5"/>
      <c r="J2" s="5"/>
      <c r="K2" s="7"/>
    </row>
    <row r="3" spans="1:12" ht="43.5" thickBot="1" x14ac:dyDescent="0.85">
      <c r="A3" s="8"/>
      <c r="B3" s="5"/>
      <c r="C3" s="7"/>
      <c r="D3" s="5"/>
      <c r="E3" s="6" t="s">
        <v>2</v>
      </c>
      <c r="F3" s="5"/>
      <c r="G3" s="5"/>
      <c r="H3" s="5"/>
      <c r="I3" s="76" t="s">
        <v>3</v>
      </c>
      <c r="J3" s="76"/>
      <c r="K3" s="77"/>
    </row>
    <row r="4" spans="1:12" ht="18.75" x14ac:dyDescent="0.4">
      <c r="A4" s="9"/>
      <c r="B4" s="5"/>
      <c r="C4" s="5"/>
      <c r="D4" s="5"/>
      <c r="E4" s="5"/>
      <c r="F4" s="5"/>
      <c r="G4" s="5"/>
      <c r="H4" s="5"/>
      <c r="I4" s="78">
        <v>293201132</v>
      </c>
      <c r="J4" s="79"/>
      <c r="K4" s="80"/>
    </row>
    <row r="5" spans="1:12" ht="19.5" thickBot="1" x14ac:dyDescent="0.45">
      <c r="A5" s="9"/>
      <c r="B5" s="5"/>
      <c r="C5" s="5"/>
      <c r="D5" s="5"/>
      <c r="E5" s="5"/>
      <c r="F5" s="5"/>
      <c r="G5" s="5"/>
      <c r="H5" s="5"/>
      <c r="I5" s="81"/>
      <c r="J5" s="76"/>
      <c r="K5" s="77"/>
    </row>
    <row r="6" spans="1:12" ht="18.75" x14ac:dyDescent="0.4">
      <c r="A6" s="10" t="s">
        <v>4</v>
      </c>
      <c r="B6" s="11" t="s">
        <v>5</v>
      </c>
      <c r="C6" s="11"/>
      <c r="D6" s="11"/>
      <c r="E6" s="5"/>
      <c r="F6" s="5"/>
      <c r="G6" s="5"/>
      <c r="H6" s="5"/>
      <c r="I6" s="5"/>
      <c r="J6" s="5"/>
      <c r="K6" s="7"/>
    </row>
    <row r="7" spans="1:12" ht="18.75" x14ac:dyDescent="0.4">
      <c r="A7" s="12"/>
      <c r="B7" s="11" t="s">
        <v>6</v>
      </c>
      <c r="C7" s="11"/>
      <c r="D7" s="11"/>
      <c r="E7" s="5"/>
      <c r="F7" s="5"/>
      <c r="G7" s="5"/>
      <c r="H7" s="5"/>
      <c r="I7" s="5"/>
      <c r="J7" s="5"/>
      <c r="K7" s="7"/>
    </row>
    <row r="8" spans="1:12" ht="19.5" thickBot="1" x14ac:dyDescent="0.45">
      <c r="A8" s="12"/>
      <c r="B8" s="13" t="s">
        <v>7</v>
      </c>
      <c r="C8" s="11"/>
      <c r="D8" s="11"/>
      <c r="E8" s="5"/>
      <c r="F8" s="5"/>
      <c r="G8" s="5"/>
      <c r="H8" s="5"/>
      <c r="I8" s="5"/>
      <c r="J8" s="5"/>
      <c r="K8" s="7"/>
    </row>
    <row r="9" spans="1:12" ht="18.75" x14ac:dyDescent="0.4">
      <c r="A9" s="12"/>
      <c r="B9" s="13">
        <v>1056223</v>
      </c>
      <c r="C9" s="11"/>
      <c r="D9" s="11"/>
      <c r="E9" s="5"/>
      <c r="F9" s="5"/>
      <c r="G9" s="5"/>
      <c r="H9" s="14" t="s">
        <v>8</v>
      </c>
      <c r="I9" s="15" t="s">
        <v>9</v>
      </c>
      <c r="J9" s="15"/>
      <c r="K9" s="16" t="s">
        <v>10</v>
      </c>
    </row>
    <row r="10" spans="1:12" ht="19.5" thickBot="1" x14ac:dyDescent="0.45">
      <c r="A10" s="10" t="s">
        <v>11</v>
      </c>
      <c r="B10" s="13" t="s">
        <v>12</v>
      </c>
      <c r="C10" s="11"/>
      <c r="D10" s="11"/>
      <c r="E10" s="5"/>
      <c r="F10" s="5"/>
      <c r="G10" s="5"/>
      <c r="H10" s="17" t="s">
        <v>13</v>
      </c>
      <c r="I10" s="18" t="s">
        <v>13</v>
      </c>
      <c r="J10" s="19"/>
      <c r="K10" s="20"/>
    </row>
    <row r="11" spans="1:12" ht="18.75" x14ac:dyDescent="0.4">
      <c r="A11" s="12"/>
      <c r="B11" s="13" t="s">
        <v>14</v>
      </c>
      <c r="C11" s="11"/>
      <c r="D11" s="11"/>
      <c r="E11" s="5"/>
      <c r="F11" s="5"/>
      <c r="G11" s="5"/>
      <c r="H11" s="82">
        <v>1126234</v>
      </c>
      <c r="I11" s="84">
        <v>1126234</v>
      </c>
      <c r="J11" s="85"/>
      <c r="K11" s="88">
        <v>1</v>
      </c>
    </row>
    <row r="12" spans="1:12" ht="19.5" thickBot="1" x14ac:dyDescent="0.45">
      <c r="A12" s="9"/>
      <c r="B12" s="5"/>
      <c r="C12" s="5"/>
      <c r="D12" s="5"/>
      <c r="E12" s="5"/>
      <c r="F12" s="5"/>
      <c r="G12" s="5"/>
      <c r="H12" s="83"/>
      <c r="I12" s="86"/>
      <c r="J12" s="87"/>
      <c r="K12" s="83"/>
    </row>
    <row r="13" spans="1:12" x14ac:dyDescent="0.25">
      <c r="A13" s="21" t="s">
        <v>39</v>
      </c>
      <c r="B13" s="22"/>
      <c r="C13" s="23" t="s">
        <v>15</v>
      </c>
      <c r="D13" s="23" t="s">
        <v>16</v>
      </c>
      <c r="E13" s="23"/>
      <c r="F13" s="23" t="s">
        <v>17</v>
      </c>
      <c r="G13" s="23" t="s">
        <v>18</v>
      </c>
      <c r="H13" s="23" t="s">
        <v>19</v>
      </c>
      <c r="I13" s="23" t="s">
        <v>17</v>
      </c>
      <c r="J13" s="23" t="s">
        <v>20</v>
      </c>
      <c r="K13" s="24" t="s">
        <v>21</v>
      </c>
    </row>
    <row r="14" spans="1:12" ht="15.75" thickBot="1" x14ac:dyDescent="0.3">
      <c r="A14" s="25" t="s">
        <v>22</v>
      </c>
      <c r="B14" s="26"/>
      <c r="C14" s="26" t="s">
        <v>23</v>
      </c>
      <c r="D14" s="26" t="s">
        <v>24</v>
      </c>
      <c r="E14" s="26"/>
      <c r="F14" s="26" t="s">
        <v>25</v>
      </c>
      <c r="G14" s="26" t="s">
        <v>26</v>
      </c>
      <c r="H14" s="26" t="s">
        <v>23</v>
      </c>
      <c r="I14" s="26" t="s">
        <v>27</v>
      </c>
      <c r="J14" s="26" t="s">
        <v>28</v>
      </c>
      <c r="K14" s="27"/>
      <c r="L14" s="28"/>
    </row>
    <row r="15" spans="1:12" ht="15.75" thickBot="1" x14ac:dyDescent="0.3">
      <c r="A15" s="89" t="s">
        <v>29</v>
      </c>
      <c r="B15" s="90"/>
      <c r="C15" s="29">
        <v>44631</v>
      </c>
      <c r="D15" s="30">
        <v>1</v>
      </c>
      <c r="E15" s="30" t="s">
        <v>30</v>
      </c>
      <c r="F15" s="31">
        <v>18</v>
      </c>
      <c r="G15" s="32"/>
      <c r="H15" s="29">
        <v>44631</v>
      </c>
      <c r="I15" s="30" t="s">
        <v>31</v>
      </c>
      <c r="J15" s="33">
        <v>1</v>
      </c>
      <c r="K15" s="34" t="s">
        <v>48</v>
      </c>
    </row>
    <row r="16" spans="1:12" x14ac:dyDescent="0.25">
      <c r="A16" s="35"/>
      <c r="B16" s="36"/>
      <c r="C16" s="37" t="s">
        <v>32</v>
      </c>
      <c r="D16" s="37" t="s">
        <v>33</v>
      </c>
      <c r="E16" s="38"/>
      <c r="F16" s="38"/>
      <c r="G16" s="38"/>
      <c r="H16" s="39"/>
      <c r="I16" s="40"/>
      <c r="J16" s="41"/>
      <c r="K16" s="41"/>
    </row>
    <row r="17" spans="1:11" x14ac:dyDescent="0.25">
      <c r="A17" s="42"/>
      <c r="B17" s="43"/>
      <c r="C17" s="44" t="s">
        <v>34</v>
      </c>
      <c r="D17" s="44" t="s">
        <v>35</v>
      </c>
      <c r="E17" s="44"/>
      <c r="F17" s="45"/>
      <c r="G17" s="45"/>
      <c r="H17" s="46"/>
      <c r="I17" s="40"/>
      <c r="J17" s="41"/>
      <c r="K17" s="41"/>
    </row>
    <row r="18" spans="1:11" x14ac:dyDescent="0.25">
      <c r="A18" s="47"/>
      <c r="B18" s="43"/>
      <c r="C18" s="44" t="s">
        <v>32</v>
      </c>
      <c r="D18" s="44" t="s">
        <v>33</v>
      </c>
      <c r="E18" s="47"/>
      <c r="F18" s="47"/>
      <c r="G18" s="45"/>
      <c r="H18" s="46"/>
      <c r="I18" s="40"/>
      <c r="J18" s="41"/>
      <c r="K18" s="41"/>
    </row>
    <row r="19" spans="1:11" x14ac:dyDescent="0.25">
      <c r="A19" s="47"/>
      <c r="B19" s="43"/>
      <c r="C19" s="44"/>
      <c r="D19" s="44"/>
      <c r="E19" s="47"/>
      <c r="F19" s="47"/>
      <c r="G19" s="45"/>
      <c r="H19" s="46"/>
      <c r="I19" s="40"/>
      <c r="J19" s="45"/>
      <c r="K19" s="41"/>
    </row>
    <row r="20" spans="1:11" x14ac:dyDescent="0.25">
      <c r="A20" s="42"/>
      <c r="B20" s="43">
        <v>1</v>
      </c>
      <c r="C20" s="48" t="s">
        <v>36</v>
      </c>
      <c r="D20" s="47"/>
      <c r="E20" s="44"/>
      <c r="F20" s="45"/>
      <c r="G20" s="45"/>
      <c r="H20" s="46"/>
      <c r="I20" s="40">
        <v>6.99</v>
      </c>
      <c r="J20" s="49"/>
      <c r="K20" s="41">
        <f>I20*B20</f>
        <v>6.99</v>
      </c>
    </row>
    <row r="21" spans="1:11" x14ac:dyDescent="0.25">
      <c r="A21" s="42"/>
      <c r="B21" s="43"/>
      <c r="C21" s="48"/>
      <c r="D21" s="47"/>
      <c r="E21" s="44"/>
      <c r="F21" s="45"/>
      <c r="G21" s="45"/>
      <c r="H21" s="46"/>
      <c r="I21" s="40"/>
      <c r="J21" s="49"/>
      <c r="K21" s="41"/>
    </row>
    <row r="22" spans="1:11" x14ac:dyDescent="0.25">
      <c r="A22" s="42"/>
      <c r="B22" s="43"/>
      <c r="C22" s="48"/>
      <c r="D22" s="47"/>
      <c r="E22" s="73"/>
      <c r="F22" s="45"/>
      <c r="G22" s="45"/>
      <c r="H22" s="46"/>
      <c r="I22" s="40"/>
      <c r="J22" s="49"/>
      <c r="K22" s="41"/>
    </row>
    <row r="23" spans="1:11" x14ac:dyDescent="0.25">
      <c r="A23" s="42"/>
      <c r="B23" s="43"/>
      <c r="C23" s="48"/>
      <c r="D23" s="47"/>
      <c r="E23" s="74"/>
      <c r="F23" s="45"/>
      <c r="G23" s="45"/>
      <c r="H23" s="46"/>
      <c r="I23" s="40"/>
      <c r="J23" s="49"/>
      <c r="K23" s="41"/>
    </row>
    <row r="24" spans="1:11" x14ac:dyDescent="0.25">
      <c r="A24" s="42"/>
      <c r="B24" s="43"/>
      <c r="C24" s="48"/>
      <c r="D24" s="47"/>
      <c r="E24" s="74"/>
      <c r="F24" s="45"/>
      <c r="G24" s="45"/>
      <c r="H24" s="46"/>
      <c r="I24" s="40"/>
      <c r="J24" s="49"/>
      <c r="K24" s="41"/>
    </row>
    <row r="25" spans="1:11" x14ac:dyDescent="0.25">
      <c r="A25" s="42"/>
      <c r="B25" s="43"/>
      <c r="C25" s="48"/>
      <c r="D25" s="47"/>
      <c r="E25" s="44"/>
      <c r="F25" s="45"/>
      <c r="G25" s="45"/>
      <c r="H25" s="46"/>
      <c r="I25" s="40"/>
      <c r="J25" s="49"/>
      <c r="K25" s="41"/>
    </row>
    <row r="26" spans="1:11" x14ac:dyDescent="0.25">
      <c r="A26" s="42"/>
      <c r="B26" s="50"/>
      <c r="C26" s="51"/>
      <c r="D26" s="47"/>
      <c r="E26" s="44"/>
      <c r="F26" s="45"/>
      <c r="G26" s="45"/>
      <c r="H26" s="46"/>
      <c r="I26" s="40"/>
      <c r="J26" s="49"/>
      <c r="K26" s="52"/>
    </row>
    <row r="27" spans="1:11" ht="15.75" thickBot="1" x14ac:dyDescent="0.3">
      <c r="A27" s="53"/>
      <c r="B27" s="54"/>
      <c r="C27" s="55"/>
      <c r="D27" s="56"/>
      <c r="E27" s="55"/>
      <c r="F27" s="57"/>
      <c r="G27" s="57"/>
      <c r="H27" s="58"/>
      <c r="I27" s="59"/>
      <c r="J27" s="41"/>
      <c r="K27" s="41"/>
    </row>
    <row r="28" spans="1:11" x14ac:dyDescent="0.25">
      <c r="A28" s="60" t="s">
        <v>40</v>
      </c>
      <c r="B28">
        <f>SUM(B17:B27)</f>
        <v>1</v>
      </c>
      <c r="G28" s="91"/>
      <c r="H28" s="93"/>
      <c r="I28" s="94" t="s">
        <v>37</v>
      </c>
      <c r="J28" s="95"/>
      <c r="K28" s="98">
        <f>SUM(K17:K26)</f>
        <v>6.99</v>
      </c>
    </row>
    <row r="29" spans="1:11" ht="15.75" thickBot="1" x14ac:dyDescent="0.3">
      <c r="A29" s="60" t="s">
        <v>41</v>
      </c>
      <c r="G29" s="92"/>
      <c r="H29" s="93"/>
      <c r="I29" s="96"/>
      <c r="J29" s="97"/>
      <c r="K29" s="99"/>
    </row>
    <row r="30" spans="1:11" x14ac:dyDescent="0.25">
      <c r="A30" s="61" t="s">
        <v>42</v>
      </c>
    </row>
    <row r="31" spans="1:11" ht="15.75" thickBot="1" x14ac:dyDescent="0.3">
      <c r="A31" s="61" t="s">
        <v>43</v>
      </c>
    </row>
    <row r="32" spans="1:11" x14ac:dyDescent="0.25">
      <c r="I32" s="62" t="s">
        <v>47</v>
      </c>
      <c r="J32" s="63"/>
      <c r="K32" s="64"/>
    </row>
    <row r="33" spans="1:11" ht="20.25" x14ac:dyDescent="0.25">
      <c r="A33" s="65" t="s">
        <v>0</v>
      </c>
      <c r="I33" s="66" t="s">
        <v>38</v>
      </c>
      <c r="J33" s="47"/>
      <c r="K33" s="67"/>
    </row>
    <row r="34" spans="1:11" x14ac:dyDescent="0.25">
      <c r="I34" s="68" t="s">
        <v>44</v>
      </c>
      <c r="J34" s="69"/>
      <c r="K34" s="67"/>
    </row>
    <row r="35" spans="1:11" ht="15.75" thickBot="1" x14ac:dyDescent="0.3">
      <c r="I35" s="70" t="s">
        <v>46</v>
      </c>
      <c r="J35" s="71"/>
      <c r="K35" s="72"/>
    </row>
  </sheetData>
  <mergeCells count="10">
    <mergeCell ref="A15:B15"/>
    <mergeCell ref="G28:G29"/>
    <mergeCell ref="H28:H29"/>
    <mergeCell ref="I28:J29"/>
    <mergeCell ref="K28:K29"/>
    <mergeCell ref="I3:K3"/>
    <mergeCell ref="I4:K5"/>
    <mergeCell ref="H11:H12"/>
    <mergeCell ref="I11:J12"/>
    <mergeCell ref="K11:K1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tabSelected="1" workbookViewId="0">
      <selection activeCell="P23" sqref="P23"/>
    </sheetView>
  </sheetViews>
  <sheetFormatPr baseColWidth="10" defaultRowHeight="15" x14ac:dyDescent="0.25"/>
  <cols>
    <col min="5" max="5" width="8.5703125" customWidth="1"/>
    <col min="9" max="9" width="15.140625" customWidth="1"/>
    <col min="11" max="11" width="11.42578125" customWidth="1"/>
  </cols>
  <sheetData>
    <row r="1" spans="1:12" ht="19.5" thickBo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2" ht="42.75" x14ac:dyDescent="0.8">
      <c r="A2" s="4" t="s">
        <v>0</v>
      </c>
      <c r="B2" s="2"/>
      <c r="C2" s="3"/>
      <c r="D2" s="5"/>
      <c r="E2" s="6" t="s">
        <v>1</v>
      </c>
      <c r="F2" s="5"/>
      <c r="G2" s="5"/>
      <c r="H2" s="5"/>
      <c r="I2" s="5"/>
      <c r="J2" s="5"/>
      <c r="K2" s="7"/>
    </row>
    <row r="3" spans="1:12" ht="43.5" thickBot="1" x14ac:dyDescent="0.85">
      <c r="A3" s="8"/>
      <c r="B3" s="5"/>
      <c r="C3" s="7"/>
      <c r="D3" s="5"/>
      <c r="E3" s="6" t="s">
        <v>2</v>
      </c>
      <c r="F3" s="5"/>
      <c r="G3" s="5"/>
      <c r="H3" s="5"/>
      <c r="I3" s="76" t="s">
        <v>3</v>
      </c>
      <c r="J3" s="76"/>
      <c r="K3" s="77"/>
    </row>
    <row r="4" spans="1:12" ht="18.75" x14ac:dyDescent="0.4">
      <c r="A4" s="9"/>
      <c r="B4" s="5"/>
      <c r="C4" s="5"/>
      <c r="D4" s="5"/>
      <c r="E4" s="5"/>
      <c r="F4" s="5"/>
      <c r="G4" s="5"/>
      <c r="H4" s="5"/>
      <c r="I4" s="78">
        <v>293201159</v>
      </c>
      <c r="J4" s="79"/>
      <c r="K4" s="80"/>
    </row>
    <row r="5" spans="1:12" ht="19.5" thickBot="1" x14ac:dyDescent="0.45">
      <c r="A5" s="9"/>
      <c r="B5" s="5"/>
      <c r="C5" s="5"/>
      <c r="D5" s="5"/>
      <c r="E5" s="5"/>
      <c r="F5" s="5"/>
      <c r="G5" s="5"/>
      <c r="H5" s="5"/>
      <c r="I5" s="81"/>
      <c r="J5" s="76"/>
      <c r="K5" s="77"/>
    </row>
    <row r="6" spans="1:12" ht="18.75" x14ac:dyDescent="0.4">
      <c r="A6" s="10" t="s">
        <v>4</v>
      </c>
      <c r="B6" s="11" t="s">
        <v>5</v>
      </c>
      <c r="C6" s="11"/>
      <c r="D6" s="11"/>
      <c r="E6" s="5"/>
      <c r="F6" s="5"/>
      <c r="G6" s="5"/>
      <c r="H6" s="5"/>
      <c r="I6" s="5"/>
      <c r="J6" s="5"/>
      <c r="K6" s="7"/>
    </row>
    <row r="7" spans="1:12" ht="18.75" x14ac:dyDescent="0.4">
      <c r="A7" s="12"/>
      <c r="B7" s="11" t="s">
        <v>6</v>
      </c>
      <c r="C7" s="11"/>
      <c r="D7" s="11"/>
      <c r="E7" s="5"/>
      <c r="F7" s="5"/>
      <c r="G7" s="5"/>
      <c r="H7" s="5"/>
      <c r="I7" s="5"/>
      <c r="J7" s="5"/>
      <c r="K7" s="7"/>
    </row>
    <row r="8" spans="1:12" ht="19.5" thickBot="1" x14ac:dyDescent="0.45">
      <c r="A8" s="12"/>
      <c r="B8" s="13" t="s">
        <v>7</v>
      </c>
      <c r="C8" s="11"/>
      <c r="D8" s="11"/>
      <c r="E8" s="5"/>
      <c r="F8" s="5"/>
      <c r="G8" s="5"/>
      <c r="H8" s="5"/>
      <c r="I8" s="5"/>
      <c r="J8" s="5"/>
      <c r="K8" s="7"/>
    </row>
    <row r="9" spans="1:12" ht="18.75" x14ac:dyDescent="0.4">
      <c r="A9" s="12"/>
      <c r="B9" s="13">
        <v>1056223</v>
      </c>
      <c r="C9" s="11"/>
      <c r="D9" s="11"/>
      <c r="E9" s="5"/>
      <c r="F9" s="5"/>
      <c r="G9" s="5"/>
      <c r="H9" s="14" t="s">
        <v>8</v>
      </c>
      <c r="I9" s="15" t="s">
        <v>9</v>
      </c>
      <c r="J9" s="15"/>
      <c r="K9" s="16" t="s">
        <v>10</v>
      </c>
    </row>
    <row r="10" spans="1:12" ht="19.5" thickBot="1" x14ac:dyDescent="0.45">
      <c r="A10" s="10" t="s">
        <v>11</v>
      </c>
      <c r="B10" s="13" t="s">
        <v>12</v>
      </c>
      <c r="C10" s="11"/>
      <c r="D10" s="11"/>
      <c r="E10" s="5"/>
      <c r="F10" s="5"/>
      <c r="G10" s="5"/>
      <c r="H10" s="17" t="s">
        <v>13</v>
      </c>
      <c r="I10" s="18" t="s">
        <v>13</v>
      </c>
      <c r="J10" s="19"/>
      <c r="K10" s="20"/>
    </row>
    <row r="11" spans="1:12" ht="18.75" x14ac:dyDescent="0.4">
      <c r="A11" s="12"/>
      <c r="B11" s="13" t="s">
        <v>14</v>
      </c>
      <c r="C11" s="11"/>
      <c r="D11" s="11"/>
      <c r="E11" s="5"/>
      <c r="F11" s="5"/>
      <c r="G11" s="5"/>
      <c r="H11" s="82">
        <v>1126234</v>
      </c>
      <c r="I11" s="84">
        <v>1126234</v>
      </c>
      <c r="J11" s="85"/>
      <c r="K11" s="88">
        <v>1</v>
      </c>
    </row>
    <row r="12" spans="1:12" ht="19.5" thickBot="1" x14ac:dyDescent="0.45">
      <c r="A12" s="9"/>
      <c r="B12" s="5"/>
      <c r="C12" s="5"/>
      <c r="D12" s="5"/>
      <c r="E12" s="5"/>
      <c r="F12" s="5"/>
      <c r="G12" s="5"/>
      <c r="H12" s="83"/>
      <c r="I12" s="86"/>
      <c r="J12" s="87"/>
      <c r="K12" s="83"/>
    </row>
    <row r="13" spans="1:12" x14ac:dyDescent="0.25">
      <c r="A13" s="21" t="s">
        <v>39</v>
      </c>
      <c r="B13" s="22"/>
      <c r="C13" s="23" t="s">
        <v>15</v>
      </c>
      <c r="D13" s="23" t="s">
        <v>16</v>
      </c>
      <c r="E13" s="23"/>
      <c r="F13" s="23" t="s">
        <v>17</v>
      </c>
      <c r="G13" s="23" t="s">
        <v>18</v>
      </c>
      <c r="H13" s="23" t="s">
        <v>19</v>
      </c>
      <c r="I13" s="23" t="s">
        <v>17</v>
      </c>
      <c r="J13" s="23" t="s">
        <v>20</v>
      </c>
      <c r="K13" s="24" t="s">
        <v>21</v>
      </c>
    </row>
    <row r="14" spans="1:12" ht="15.75" thickBot="1" x14ac:dyDescent="0.3">
      <c r="A14" s="25" t="s">
        <v>22</v>
      </c>
      <c r="B14" s="26"/>
      <c r="C14" s="26" t="s">
        <v>23</v>
      </c>
      <c r="D14" s="26" t="s">
        <v>24</v>
      </c>
      <c r="E14" s="26"/>
      <c r="F14" s="26" t="s">
        <v>25</v>
      </c>
      <c r="G14" s="26" t="s">
        <v>26</v>
      </c>
      <c r="H14" s="26" t="s">
        <v>23</v>
      </c>
      <c r="I14" s="26" t="s">
        <v>27</v>
      </c>
      <c r="J14" s="26" t="s">
        <v>28</v>
      </c>
      <c r="K14" s="27"/>
      <c r="L14" s="28"/>
    </row>
    <row r="15" spans="1:12" ht="15.75" thickBot="1" x14ac:dyDescent="0.3">
      <c r="A15" s="89" t="s">
        <v>29</v>
      </c>
      <c r="B15" s="90"/>
      <c r="C15" s="29">
        <v>44753</v>
      </c>
      <c r="D15" s="30">
        <v>1</v>
      </c>
      <c r="E15" s="30" t="s">
        <v>30</v>
      </c>
      <c r="F15" s="31">
        <v>18</v>
      </c>
      <c r="G15" s="32"/>
      <c r="H15" s="29">
        <v>44753</v>
      </c>
      <c r="I15" s="30" t="s">
        <v>31</v>
      </c>
      <c r="J15" s="33">
        <v>1</v>
      </c>
      <c r="K15" s="34" t="s">
        <v>49</v>
      </c>
    </row>
    <row r="16" spans="1:12" x14ac:dyDescent="0.25">
      <c r="A16" s="35"/>
      <c r="B16" s="36"/>
      <c r="C16" s="37" t="s">
        <v>32</v>
      </c>
      <c r="D16" s="37" t="s">
        <v>33</v>
      </c>
      <c r="E16" s="38"/>
      <c r="F16" s="38"/>
      <c r="G16" s="38"/>
      <c r="H16" s="39"/>
      <c r="I16" s="40"/>
      <c r="J16" s="41"/>
      <c r="K16" s="41"/>
    </row>
    <row r="17" spans="1:11" x14ac:dyDescent="0.25">
      <c r="A17" s="42"/>
      <c r="B17" s="43"/>
      <c r="C17" s="75" t="s">
        <v>34</v>
      </c>
      <c r="D17" s="75" t="s">
        <v>35</v>
      </c>
      <c r="E17" s="75"/>
      <c r="F17" s="45"/>
      <c r="G17" s="45"/>
      <c r="H17" s="46"/>
      <c r="I17" s="40"/>
      <c r="J17" s="41"/>
      <c r="K17" s="41"/>
    </row>
    <row r="18" spans="1:11" x14ac:dyDescent="0.25">
      <c r="A18" s="47"/>
      <c r="B18" s="43"/>
      <c r="C18" s="75" t="s">
        <v>32</v>
      </c>
      <c r="D18" s="75" t="s">
        <v>33</v>
      </c>
      <c r="E18" s="47"/>
      <c r="F18" s="47"/>
      <c r="G18" s="45"/>
      <c r="H18" s="46"/>
      <c r="I18" s="40"/>
      <c r="J18" s="41"/>
      <c r="K18" s="41"/>
    </row>
    <row r="19" spans="1:11" x14ac:dyDescent="0.25">
      <c r="A19" s="47"/>
      <c r="B19" s="43"/>
      <c r="C19" s="75"/>
      <c r="D19" s="75"/>
      <c r="E19" s="47"/>
      <c r="F19" s="47"/>
      <c r="G19" s="45"/>
      <c r="H19" s="46"/>
      <c r="I19" s="40"/>
      <c r="J19" s="45"/>
      <c r="K19" s="41"/>
    </row>
    <row r="20" spans="1:11" x14ac:dyDescent="0.25">
      <c r="A20" s="42"/>
      <c r="B20" s="43"/>
      <c r="C20" s="48"/>
      <c r="D20" s="47"/>
      <c r="E20" s="75"/>
      <c r="F20" s="45"/>
      <c r="G20" s="45"/>
      <c r="H20" s="46"/>
      <c r="I20" s="40"/>
      <c r="J20" s="49"/>
      <c r="K20" s="41"/>
    </row>
    <row r="21" spans="1:11" x14ac:dyDescent="0.25">
      <c r="A21" s="42"/>
      <c r="B21" s="43">
        <v>1</v>
      </c>
      <c r="C21" s="48" t="s">
        <v>45</v>
      </c>
      <c r="D21" s="47"/>
      <c r="E21" s="75"/>
      <c r="F21" s="45"/>
      <c r="G21" s="45"/>
      <c r="H21" s="46"/>
      <c r="I21" s="40">
        <v>12.35</v>
      </c>
      <c r="J21" s="49"/>
      <c r="K21" s="41">
        <f t="shared" ref="K21" si="0">I21*B21</f>
        <v>12.35</v>
      </c>
    </row>
    <row r="22" spans="1:11" x14ac:dyDescent="0.25">
      <c r="A22" s="42"/>
      <c r="B22" s="43"/>
      <c r="C22" s="48"/>
      <c r="D22" s="47"/>
      <c r="E22" s="75"/>
      <c r="F22" s="45"/>
      <c r="G22" s="45"/>
      <c r="H22" s="46"/>
      <c r="I22" s="40"/>
      <c r="J22" s="49"/>
      <c r="K22" s="41"/>
    </row>
    <row r="23" spans="1:11" x14ac:dyDescent="0.25">
      <c r="A23" s="42"/>
      <c r="B23" s="43"/>
      <c r="C23" s="48"/>
      <c r="D23" s="47"/>
      <c r="E23" s="75"/>
      <c r="F23" s="45"/>
      <c r="G23" s="45"/>
      <c r="H23" s="46"/>
      <c r="I23" s="40"/>
      <c r="J23" s="49"/>
      <c r="K23" s="41"/>
    </row>
    <row r="24" spans="1:11" x14ac:dyDescent="0.25">
      <c r="A24" s="42"/>
      <c r="B24" s="50"/>
      <c r="C24" s="51"/>
      <c r="D24" s="47"/>
      <c r="E24" s="75"/>
      <c r="F24" s="45"/>
      <c r="G24" s="45"/>
      <c r="H24" s="46"/>
      <c r="I24" s="40"/>
      <c r="J24" s="49"/>
      <c r="K24" s="52"/>
    </row>
    <row r="25" spans="1:11" ht="15.75" thickBot="1" x14ac:dyDescent="0.3">
      <c r="A25" s="53"/>
      <c r="B25" s="54"/>
      <c r="C25" s="55"/>
      <c r="D25" s="56"/>
      <c r="E25" s="55"/>
      <c r="F25" s="57"/>
      <c r="G25" s="57"/>
      <c r="H25" s="58"/>
      <c r="I25" s="59"/>
      <c r="J25" s="41"/>
      <c r="K25" s="41"/>
    </row>
    <row r="26" spans="1:11" x14ac:dyDescent="0.25">
      <c r="A26" s="60" t="s">
        <v>40</v>
      </c>
      <c r="B26">
        <f>SUM(B17:B25)</f>
        <v>1</v>
      </c>
      <c r="G26" s="91"/>
      <c r="H26" s="93"/>
      <c r="I26" s="94" t="s">
        <v>37</v>
      </c>
      <c r="J26" s="95"/>
      <c r="K26" s="98">
        <f>SUM(K17:K24)</f>
        <v>12.35</v>
      </c>
    </row>
    <row r="27" spans="1:11" ht="15.75" thickBot="1" x14ac:dyDescent="0.3">
      <c r="A27" s="60" t="s">
        <v>41</v>
      </c>
      <c r="G27" s="92"/>
      <c r="H27" s="93"/>
      <c r="I27" s="96"/>
      <c r="J27" s="97"/>
      <c r="K27" s="99"/>
    </row>
    <row r="28" spans="1:11" x14ac:dyDescent="0.25">
      <c r="A28" s="61" t="s">
        <v>42</v>
      </c>
    </row>
    <row r="29" spans="1:11" ht="15.75" thickBot="1" x14ac:dyDescent="0.3">
      <c r="A29" s="61" t="s">
        <v>43</v>
      </c>
    </row>
    <row r="30" spans="1:11" x14ac:dyDescent="0.25">
      <c r="I30" s="62" t="s">
        <v>50</v>
      </c>
      <c r="J30" s="63"/>
      <c r="K30" s="64"/>
    </row>
    <row r="31" spans="1:11" ht="20.25" x14ac:dyDescent="0.25">
      <c r="A31" s="65" t="s">
        <v>0</v>
      </c>
      <c r="I31" s="66" t="s">
        <v>38</v>
      </c>
      <c r="J31" s="47"/>
      <c r="K31" s="67"/>
    </row>
    <row r="32" spans="1:11" x14ac:dyDescent="0.25">
      <c r="I32" s="68" t="s">
        <v>44</v>
      </c>
      <c r="J32" s="69"/>
      <c r="K32" s="67"/>
    </row>
    <row r="33" spans="9:11" ht="15.75" thickBot="1" x14ac:dyDescent="0.3">
      <c r="I33" s="70" t="s">
        <v>51</v>
      </c>
      <c r="J33" s="71"/>
      <c r="K33" s="72"/>
    </row>
  </sheetData>
  <mergeCells count="10">
    <mergeCell ref="A15:B15"/>
    <mergeCell ref="G26:G27"/>
    <mergeCell ref="H26:H27"/>
    <mergeCell ref="I26:J27"/>
    <mergeCell ref="K26:K27"/>
    <mergeCell ref="I3:K3"/>
    <mergeCell ref="I4:K5"/>
    <mergeCell ref="H11:H12"/>
    <mergeCell ref="I11:J12"/>
    <mergeCell ref="K11:K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2022-11-15T16:17:53Z</dcterms:modified>
</cp:coreProperties>
</file>