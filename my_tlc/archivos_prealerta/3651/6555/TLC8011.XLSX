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mara\Desktop\mail tipo\"/>
    </mc:Choice>
  </mc:AlternateContent>
  <xr:revisionPtr revIDLastSave="0" documentId="8_{5EC5E4D9-0BBA-C948-A3F3-6EA8681859B2}" xr6:coauthVersionLast="47" xr6:coauthVersionMax="47" xr10:uidLastSave="{00000000-0000-0000-0000-000000000000}"/>
  <workbookProtection lockStructure="1"/>
  <bookViews>
    <workbookView xWindow="-120" yWindow="-120" windowWidth="20730" windowHeight="11160" xr2:uid="{00000000-000D-0000-FFFF-FFFF00000000}"/>
  </bookViews>
  <sheets>
    <sheet name="Commercial Invoice" sheetId="1" r:id="rId1"/>
  </sheets>
  <definedNames>
    <definedName name="_xlnm.Print_Area" localSheetId="0">'Commercial Invoice'!$A$1:$M$33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" l="1"/>
  <c r="L14" i="1"/>
  <c r="L15" i="1"/>
  <c r="L18" i="1"/>
  <c r="L19" i="1"/>
  <c r="L20" i="1"/>
  <c r="L21" i="1"/>
  <c r="C22" i="1"/>
  <c r="B33" i="1"/>
  <c r="L22" i="1"/>
  <c r="L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pst7vtk</author>
  </authors>
  <commentList>
    <comment ref="A2" authorId="0" shapeId="0" xr:uid="{00000000-0006-0000-0000-000007000000}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 xr:uid="{00000000-0006-0000-0000-000008000000}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 xr:uid="{00000000-0006-0000-0000-000009000000}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 xr:uid="{00000000-0006-0000-0000-00000A000000}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 xr:uid="{00000000-0006-0000-0000-00000D000000}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 xr:uid="{00000000-0006-0000-0000-00000E000000}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 xr:uid="{00000000-0006-0000-0000-000011000000}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 xr:uid="{00000000-0006-0000-0000-000015000000}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 xr:uid="{00000000-0006-0000-0000-000016000000}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 xr:uid="{00000000-0006-0000-0000-000017000000}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 xr:uid="{00000000-0006-0000-0000-00001B000000}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 xr:uid="{00000000-0006-0000-0000-000031000000}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 xr:uid="{00000000-0006-0000-0000-000032000000}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 xr:uid="{00000000-0006-0000-0000-000033000000}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<sst xmlns="http://schemas.openxmlformats.org/spreadsheetml/2006/main" count="30" uniqueCount="37">
  <si>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</si>
  <si>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</si>
  <si>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</si>
  <si>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</si>
  <si>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</si>
  <si>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</si>
  <si>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</si>
  <si>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</si>
  <si>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</si>
  <si>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</si>
  <si>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</si>
  <si>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</si>
  <si>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</si>
  <si>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</si>
  <si>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</si>
  <si>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</si>
  <si>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</si>
  <si>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</si>
  <si>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</si>
  <si>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</si>
  <si>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</si>
  <si>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>USA</t>
  </si>
  <si>
    <t>8256 NW 30 th Terrace</t>
  </si>
  <si>
    <t>Doral FL 33122</t>
  </si>
  <si>
    <t>María José Bustos Espinoza</t>
  </si>
  <si>
    <t>Cerro moreno 10580 departamento G103</t>
  </si>
  <si>
    <t>Antofagasta</t>
  </si>
  <si>
    <t>Chile</t>
  </si>
  <si>
    <t>1) Hannh  Vivacious cat-eyes, significantly  catchy with a golden lower rim  ColorBlack (lentes sin aumento)</t>
  </si>
  <si>
    <t>Maja Oversized square frame design Color Coconut (lentes de sol)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</si>
</sst>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7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58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left" vertical="center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0" fillId="0" borderId="2" xfId="0" applyFont="1" applyBorder="1" applyAlignment="1" applyProtection="1">
      <alignment horizontal="left" vertical="center"/>
      <protection locked="0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66"/>
  <sheetViews>
    <sheetView showGridLines="0" tabSelected="1" topLeftCell="C1" workbookViewId="0">
      <selection activeCell="B14" sqref="B14:I14"/>
    </sheetView>
  </sheetViews>
  <sheetFormatPr defaultColWidth="9.171875" defaultRowHeight="12" x14ac:dyDescent="0.2"/>
  <cols>
    <col min="1" max="6" width="8.875" style="2" customWidth="1"/>
    <col min="7" max="7" width="2.80859375" style="2" customWidth="1"/>
    <col min="8" max="9" width="9.9140625" style="2" customWidth="1"/>
    <col min="10" max="13" width="8.875" style="2" customWidth="1"/>
    <col min="14" max="14" width="2.80859375" style="7" customWidth="1"/>
    <col min="15" max="18" width="9.171875" style="2" customWidth="1"/>
    <col min="19" max="20" width="9.171875" style="2"/>
    <col min="21" max="21" width="26.484375" style="2" customWidth="1"/>
    <col min="22" max="16384" width="9.171875" style="2"/>
  </cols>
  <sheetData>
    <row r="1" spans="1:23" ht="24.95" customHeight="1" x14ac:dyDescent="0.2">
      <c r="A1" s="45" t="s">
        <v>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48" t="s">
        <v>1</v>
      </c>
      <c r="B2" s="48"/>
      <c r="C2" s="48"/>
      <c r="D2" s="48"/>
      <c r="E2" s="48"/>
      <c r="F2" s="49"/>
      <c r="G2" s="21"/>
      <c r="H2" s="48" t="s">
        <v>2</v>
      </c>
      <c r="I2" s="48"/>
      <c r="J2" s="48"/>
      <c r="K2" s="48"/>
      <c r="L2" s="48"/>
      <c r="M2" s="49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50" t="s">
        <v>24</v>
      </c>
      <c r="C4" s="50"/>
      <c r="D4" s="50"/>
      <c r="E4" s="50"/>
      <c r="F4" s="50"/>
      <c r="G4" s="4"/>
      <c r="H4" s="5"/>
      <c r="I4" s="50"/>
      <c r="J4" s="50"/>
      <c r="K4" s="50"/>
      <c r="L4" s="50"/>
      <c r="M4" s="50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50" t="s">
        <v>25</v>
      </c>
      <c r="C5" s="50"/>
      <c r="D5" s="50"/>
      <c r="E5" s="50"/>
      <c r="F5" s="50"/>
      <c r="G5" s="4"/>
      <c r="H5" s="5"/>
      <c r="I5" s="53" t="s">
        <v>22</v>
      </c>
      <c r="J5" s="53"/>
      <c r="K5" s="53"/>
      <c r="L5" s="53"/>
      <c r="M5" s="53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53" t="s">
        <v>26</v>
      </c>
      <c r="C6" s="53"/>
      <c r="D6" s="53"/>
      <c r="E6" s="53"/>
      <c r="F6" s="53"/>
      <c r="G6" s="4"/>
      <c r="H6" s="5"/>
      <c r="I6" s="50" t="s">
        <v>23</v>
      </c>
      <c r="J6" s="50"/>
      <c r="K6" s="50"/>
      <c r="L6" s="50"/>
      <c r="M6" s="50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53" t="s">
        <v>27</v>
      </c>
      <c r="C7" s="53"/>
      <c r="D7" s="13"/>
      <c r="E7" s="53"/>
      <c r="F7" s="53"/>
      <c r="G7" s="4"/>
      <c r="H7" s="5"/>
      <c r="I7" s="50" t="s">
        <v>21</v>
      </c>
      <c r="J7" s="50"/>
      <c r="K7" s="13"/>
      <c r="L7" s="50"/>
      <c r="M7" s="50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54" t="s">
        <v>5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  <c r="M11" s="57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51" t="s">
        <v>15</v>
      </c>
      <c r="B12" s="51" t="s">
        <v>16</v>
      </c>
      <c r="C12" s="51"/>
      <c r="D12" s="51"/>
      <c r="E12" s="51"/>
      <c r="F12" s="51"/>
      <c r="G12" s="51"/>
      <c r="H12" s="51"/>
      <c r="I12" s="51"/>
      <c r="J12" s="51" t="s">
        <v>6</v>
      </c>
      <c r="K12" s="52"/>
      <c r="L12" s="51" t="s">
        <v>7</v>
      </c>
      <c r="M12" s="52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52"/>
      <c r="B13" s="51"/>
      <c r="C13" s="51"/>
      <c r="D13" s="51"/>
      <c r="E13" s="51"/>
      <c r="F13" s="51"/>
      <c r="G13" s="51"/>
      <c r="H13" s="51"/>
      <c r="I13" s="51"/>
      <c r="J13" s="52"/>
      <c r="K13" s="52"/>
      <c r="L13" s="52"/>
      <c r="M13" s="52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43" t="s">
        <v>28</v>
      </c>
      <c r="C14" s="43"/>
      <c r="D14" s="43"/>
      <c r="E14" s="43"/>
      <c r="F14" s="43"/>
      <c r="G14" s="43"/>
      <c r="H14" s="43"/>
      <c r="I14" s="43"/>
      <c r="J14" s="41">
        <v>16.2</v>
      </c>
      <c r="K14" s="41"/>
      <c r="L14" s="44">
        <f>IF(A14="","",A14*J14)</f>
        <v>16.2</v>
      </c>
      <c r="M14" s="44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>
        <v>1</v>
      </c>
      <c r="B15" s="43" t="s">
        <v>29</v>
      </c>
      <c r="C15" s="43"/>
      <c r="D15" s="43"/>
      <c r="E15" s="43"/>
      <c r="F15" s="43"/>
      <c r="G15" s="43"/>
      <c r="H15" s="43"/>
      <c r="I15" s="43"/>
      <c r="J15" s="41">
        <v>14.1</v>
      </c>
      <c r="K15" s="41"/>
      <c r="L15" s="44">
        <f t="shared" ref="L15:L21" si="0">IF(A15="","",A15*J15)</f>
        <v>14.1</v>
      </c>
      <c r="M15" s="44"/>
      <c r="N15" s="14"/>
    </row>
    <row r="16" spans="1:23" ht="33" customHeight="1" x14ac:dyDescent="0.2">
      <c r="A16" s="22"/>
      <c r="B16" s="43"/>
      <c r="C16" s="43"/>
      <c r="D16" s="43"/>
      <c r="E16" s="43"/>
      <c r="F16" s="43"/>
      <c r="G16" s="43"/>
      <c r="H16" s="43"/>
      <c r="I16" s="43"/>
      <c r="J16" s="41"/>
      <c r="K16" s="41"/>
      <c r="L16" s="44"/>
      <c r="M16" s="44"/>
      <c r="N16" s="14"/>
    </row>
    <row r="17" spans="1:14" ht="39" customHeight="1" x14ac:dyDescent="0.2">
      <c r="A17" s="22"/>
      <c r="B17" s="43"/>
      <c r="C17" s="43"/>
      <c r="D17" s="43"/>
      <c r="E17" s="43"/>
      <c r="F17" s="43"/>
      <c r="G17" s="43"/>
      <c r="H17" s="43"/>
      <c r="I17" s="43"/>
      <c r="J17" s="41"/>
      <c r="K17" s="41"/>
      <c r="L17" s="44"/>
      <c r="M17" s="44"/>
      <c r="N17" s="14"/>
    </row>
    <row r="18" spans="1:14" ht="35.1" customHeight="1" x14ac:dyDescent="0.2">
      <c r="A18" s="22"/>
      <c r="B18" s="43"/>
      <c r="C18" s="43"/>
      <c r="D18" s="43"/>
      <c r="E18" s="43"/>
      <c r="F18" s="43"/>
      <c r="G18" s="43"/>
      <c r="H18" s="43"/>
      <c r="I18" s="43"/>
      <c r="J18" s="41"/>
      <c r="K18" s="41"/>
      <c r="L18" s="44" t="str">
        <f t="shared" si="0"/>
        <v/>
      </c>
      <c r="M18" s="44"/>
      <c r="N18" s="14"/>
    </row>
    <row r="19" spans="1:14" ht="44.1" customHeight="1" x14ac:dyDescent="0.2">
      <c r="A19" s="22"/>
      <c r="B19" s="43"/>
      <c r="C19" s="43"/>
      <c r="D19" s="43"/>
      <c r="E19" s="43"/>
      <c r="F19" s="43"/>
      <c r="G19" s="43"/>
      <c r="H19" s="43"/>
      <c r="I19" s="43"/>
      <c r="J19" s="41"/>
      <c r="K19" s="41"/>
      <c r="L19" s="44" t="str">
        <f t="shared" si="0"/>
        <v/>
      </c>
      <c r="M19" s="44"/>
      <c r="N19" s="14"/>
    </row>
    <row r="20" spans="1:14" ht="33" customHeight="1" x14ac:dyDescent="0.2">
      <c r="A20" s="22"/>
      <c r="B20" s="43"/>
      <c r="C20" s="43"/>
      <c r="D20" s="43"/>
      <c r="E20" s="43"/>
      <c r="F20" s="43"/>
      <c r="G20" s="43"/>
      <c r="H20" s="43"/>
      <c r="I20" s="43"/>
      <c r="J20" s="41"/>
      <c r="K20" s="41"/>
      <c r="L20" s="44" t="str">
        <f t="shared" si="0"/>
        <v/>
      </c>
      <c r="M20" s="44"/>
      <c r="N20" s="14"/>
    </row>
    <row r="21" spans="1:14" ht="33" customHeight="1" x14ac:dyDescent="0.2">
      <c r="A21" s="22"/>
      <c r="B21" s="43"/>
      <c r="C21" s="43"/>
      <c r="D21" s="43"/>
      <c r="E21" s="43"/>
      <c r="F21" s="43"/>
      <c r="G21" s="43"/>
      <c r="H21" s="43"/>
      <c r="I21" s="43"/>
      <c r="J21" s="41"/>
      <c r="K21" s="41"/>
      <c r="L21" s="44" t="str">
        <f t="shared" si="0"/>
        <v/>
      </c>
      <c r="M21" s="44"/>
      <c r="N21" s="14"/>
    </row>
    <row r="22" spans="1:14" ht="20.100000000000001" customHeight="1" x14ac:dyDescent="0.2">
      <c r="A22" s="42" t="s">
        <v>17</v>
      </c>
      <c r="B22" s="42"/>
      <c r="C22" s="15">
        <f>SUM(A14:A21)</f>
        <v>2</v>
      </c>
      <c r="D22" s="16"/>
      <c r="E22" s="16"/>
      <c r="F22" s="16"/>
      <c r="G22" s="16"/>
      <c r="H22" s="16"/>
      <c r="I22" s="16"/>
      <c r="J22" s="5"/>
      <c r="K22" s="12" t="s">
        <v>12</v>
      </c>
      <c r="L22" s="39">
        <f>IF(SUM(L14:M21)=0,"",SUM(L14:M21))</f>
        <v>30.299999999999997</v>
      </c>
      <c r="M22" s="40"/>
      <c r="N22" s="14"/>
    </row>
    <row r="23" spans="1:14" ht="12.75" customHeight="1" x14ac:dyDescent="0.2">
      <c r="K23" s="28" t="s">
        <v>11</v>
      </c>
      <c r="L23" s="30">
        <f>SUM(L22:M22)</f>
        <v>30.299999999999997</v>
      </c>
      <c r="M23" s="31"/>
      <c r="N23" s="14"/>
    </row>
    <row r="24" spans="1:14" ht="12.75" customHeight="1" x14ac:dyDescent="0.2">
      <c r="K24" s="29"/>
      <c r="L24" s="32"/>
      <c r="M24" s="33"/>
      <c r="N24" s="14"/>
    </row>
    <row r="25" spans="1:14" ht="12.75" customHeight="1" x14ac:dyDescent="0.2">
      <c r="J25" s="34" t="s">
        <v>4</v>
      </c>
      <c r="K25" s="35"/>
      <c r="L25" s="26" t="s">
        <v>20</v>
      </c>
      <c r="M25" s="27"/>
      <c r="N25" s="6"/>
    </row>
    <row r="26" spans="1:14" ht="12.75" customHeight="1" x14ac:dyDescent="0.2">
      <c r="J26" s="34"/>
      <c r="K26" s="35"/>
      <c r="L26" s="26"/>
      <c r="M26" s="27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37" t="s">
        <v>13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6"/>
    </row>
    <row r="29" spans="1:14" ht="12.75" customHeight="1" x14ac:dyDescent="0.2">
      <c r="A29" s="24" t="s">
        <v>18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6"/>
    </row>
    <row r="30" spans="1:14" ht="12.75" customHeight="1" x14ac:dyDescent="0.2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36" t="str">
        <f>IF(B4="","",B4)</f>
        <v>María José Bustos Espinoza</v>
      </c>
      <c r="C33" s="36"/>
      <c r="D33" s="36"/>
      <c r="E33" s="36"/>
      <c r="F33" s="36"/>
      <c r="G33" s="36"/>
      <c r="H33" s="19" t="s">
        <v>0</v>
      </c>
      <c r="I33" s="25">
        <f ca="1">TODAY()-10</f>
        <v>44829</v>
      </c>
      <c r="J33" s="25"/>
      <c r="K33" s="25"/>
      <c r="L33" s="25"/>
      <c r="M33" s="25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52">
    <mergeCell ref="B5:F5"/>
    <mergeCell ref="L7:M7"/>
    <mergeCell ref="E7:F7"/>
    <mergeCell ref="B7:C7"/>
    <mergeCell ref="I5:M5"/>
    <mergeCell ref="L12:M13"/>
    <mergeCell ref="I7:J7"/>
    <mergeCell ref="J12:K13"/>
    <mergeCell ref="B6:F6"/>
    <mergeCell ref="A11:M11"/>
    <mergeCell ref="I6:M6"/>
    <mergeCell ref="A12:A13"/>
    <mergeCell ref="B12:I13"/>
    <mergeCell ref="A1:M1"/>
    <mergeCell ref="H2:M2"/>
    <mergeCell ref="B4:F4"/>
    <mergeCell ref="I4:M4"/>
    <mergeCell ref="A2:F2"/>
    <mergeCell ref="J14:K14"/>
    <mergeCell ref="J15:K15"/>
    <mergeCell ref="J16:K16"/>
    <mergeCell ref="B14:I14"/>
    <mergeCell ref="B15:I15"/>
    <mergeCell ref="B16:I16"/>
    <mergeCell ref="L14:M14"/>
    <mergeCell ref="L15:M15"/>
    <mergeCell ref="L16:M16"/>
    <mergeCell ref="L17:M17"/>
    <mergeCell ref="L18:M18"/>
    <mergeCell ref="L22:M22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L19:M19"/>
    <mergeCell ref="L20:M20"/>
    <mergeCell ref="L21:M21"/>
    <mergeCell ref="B21:I21"/>
    <mergeCell ref="A29:M30"/>
    <mergeCell ref="I33:M33"/>
    <mergeCell ref="L25:M26"/>
    <mergeCell ref="K23:K24"/>
    <mergeCell ref="L23:M24"/>
    <mergeCell ref="J25:K26"/>
    <mergeCell ref="B33:G33"/>
    <mergeCell ref="A28:M28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/>
  <headerFooter alignWithMargins="0"/>
  <cellWatches>
    <cellWatch r="L25"/>
  </cellWatche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Commercial Invoice!Área_de_impresión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Tamara</cp:lastModifiedBy>
  <cp:lastPrinted>2020-04-03T15:32:15Z</cp:lastPrinted>
  <dcterms:created xsi:type="dcterms:W3CDTF">2011-10-19T16:07:18Z</dcterms:created>
  <dcterms:modified xsi:type="dcterms:W3CDTF">2022-01-12T19:04:50Z</dcterms:modified>
</cp:coreProperties>
</file>