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Gustavo Abugarade\Desktop\"/>
    </mc:Choice>
  </mc:AlternateContent>
  <xr:revisionPtr revIDLastSave="0" documentId="13_ncr:1_{DF4B7BDD-C4A6-4D2B-A4F4-DD62FDAA4D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F35" i="1"/>
  <c r="C35" i="1"/>
  <c r="G33" i="1"/>
  <c r="G32" i="1"/>
  <c r="G31" i="1"/>
  <c r="G30" i="1"/>
  <c r="G29" i="1"/>
  <c r="G28" i="1"/>
  <c r="G27" i="1"/>
  <c r="G26" i="1"/>
  <c r="G25" i="1"/>
  <c r="G22" i="1"/>
  <c r="G21" i="1"/>
  <c r="G20" i="1"/>
  <c r="G19" i="1"/>
  <c r="G34" i="1" l="1"/>
</calcChain>
</file>

<file path=xl/sharedStrings.xml><?xml version="1.0" encoding="utf-8"?>
<sst xmlns="http://schemas.openxmlformats.org/spreadsheetml/2006/main" count="49" uniqueCount="41">
  <si>
    <r>
      <rPr>
        <b/>
        <sz val="14"/>
        <color theme="1"/>
        <rFont val="Arial"/>
      </rPr>
      <t xml:space="preserve">Factura Comercial                                </t>
    </r>
    <r>
      <rPr>
        <b/>
        <sz val="9"/>
        <color theme="1"/>
        <rFont val="Arial"/>
      </rPr>
      <t xml:space="preserve">  </t>
    </r>
  </si>
  <si>
    <t>Comercial Invoice</t>
  </si>
  <si>
    <t>Guia Aerea</t>
  </si>
  <si>
    <t>Fecha</t>
  </si>
  <si>
    <t>AWB</t>
  </si>
  <si>
    <t>Date</t>
  </si>
  <si>
    <t>Remitente</t>
  </si>
  <si>
    <t>Destinatario</t>
  </si>
  <si>
    <t>Shipper</t>
  </si>
  <si>
    <t>Consignee</t>
  </si>
  <si>
    <t xml:space="preserve">RUT </t>
  </si>
  <si>
    <t>RUT</t>
  </si>
  <si>
    <t>Contact</t>
  </si>
  <si>
    <t>Direccion</t>
  </si>
  <si>
    <t>Address</t>
  </si>
  <si>
    <t>Telefonos</t>
  </si>
  <si>
    <t>Telephone</t>
  </si>
  <si>
    <t>Pais de Origen</t>
  </si>
  <si>
    <t>Destino</t>
  </si>
  <si>
    <t>Country Origen</t>
  </si>
  <si>
    <t>Destination</t>
  </si>
  <si>
    <t>Unidades</t>
  </si>
  <si>
    <t>Descripcion del Envio    (Description)</t>
  </si>
  <si>
    <t>Valor/Unit   (unit Value)</t>
  </si>
  <si>
    <t>Valor/Subtotal (Subtotal Value)</t>
  </si>
  <si>
    <t xml:space="preserve"> </t>
  </si>
  <si>
    <t>TOTAL</t>
  </si>
  <si>
    <t>Name:</t>
  </si>
  <si>
    <t xml:space="preserve">. </t>
  </si>
  <si>
    <t>UPS1Z714R020300001553</t>
  </si>
  <si>
    <t>ORVIS COMPANY</t>
  </si>
  <si>
    <t>FLYFISHINGSTORE</t>
  </si>
  <si>
    <t>+56 9 9530 2821</t>
  </si>
  <si>
    <t>USA</t>
  </si>
  <si>
    <t>CHILE</t>
  </si>
  <si>
    <t>178 CONSERVATION WAY , SUNDERLAND VT05250</t>
  </si>
  <si>
    <t>802-362-3622</t>
  </si>
  <si>
    <t>76.180.008-6</t>
  </si>
  <si>
    <t>DOMINICA 25</t>
  </si>
  <si>
    <t>STICKERS ORVIS</t>
  </si>
  <si>
    <t>GORROS PUBLICITARIOS ORVIS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</si>
</sst>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 &quot;B/.&quot;\ * #,##0.00_ ;_ &quot;B/.&quot;\ * \-#,##0.00_ ;_ &quot;B/.&quot;\ * &quot;-&quot;??_ ;_ @_ "/>
    <numFmt numFmtId="166" formatCode="_ [$USD]\ * #,##0.00_ ;_ [$USD]\ * \-#,##0.00_ ;_ [$USD]\ * &quot;-&quot;??_ ;_ @_ "/>
  </numFmts>
  <fonts count="11" x14ac:knownFonts="1">
    <font>
      <sz val="10"/>
      <color rgb="FF000000"/>
      <name val="Calibri"/>
      <scheme val="minor"/>
    </font>
    <font>
      <sz val="12"/>
      <color theme="1"/>
      <name val="Arial"/>
    </font>
    <font>
      <b/>
      <sz val="14"/>
      <color theme="1"/>
      <name val="Arial"/>
    </font>
    <font>
      <sz val="10"/>
      <name val="Calibri"/>
    </font>
    <font>
      <b/>
      <sz val="12"/>
      <color theme="1"/>
      <name val="Arial"/>
    </font>
    <font>
      <sz val="10"/>
      <color theme="1"/>
      <name val="Arial"/>
    </font>
    <font>
      <sz val="9"/>
      <color theme="1"/>
      <name val="Arial"/>
    </font>
    <font>
      <u/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166" fontId="1" fillId="0" borderId="21" xfId="0" applyNumberFormat="1" applyFont="1" applyBorder="1" applyAlignment="1">
      <alignment horizontal="center"/>
    </xf>
    <xf numFmtId="166" fontId="1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66" fontId="1" fillId="0" borderId="27" xfId="0" applyNumberFormat="1" applyFont="1" applyBorder="1" applyAlignment="1">
      <alignment horizontal="center"/>
    </xf>
    <xf numFmtId="166" fontId="7" fillId="0" borderId="27" xfId="0" applyNumberFormat="1" applyFont="1" applyBorder="1" applyAlignment="1">
      <alignment horizontal="center"/>
    </xf>
    <xf numFmtId="166" fontId="8" fillId="0" borderId="27" xfId="0" applyNumberFormat="1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166" fontId="9" fillId="0" borderId="27" xfId="0" applyNumberFormat="1" applyFont="1" applyBorder="1" applyAlignment="1">
      <alignment horizontal="center"/>
    </xf>
    <xf numFmtId="166" fontId="4" fillId="0" borderId="22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49" fontId="5" fillId="0" borderId="24" xfId="0" applyNumberFormat="1" applyFont="1" applyBorder="1" applyAlignment="1">
      <alignment horizontal="center"/>
    </xf>
    <xf numFmtId="0" fontId="3" fillId="0" borderId="26" xfId="0" applyFont="1" applyBorder="1"/>
    <xf numFmtId="164" fontId="1" fillId="0" borderId="24" xfId="0" applyNumberFormat="1" applyFont="1" applyBorder="1" applyAlignment="1">
      <alignment horizontal="center"/>
    </xf>
    <xf numFmtId="0" fontId="3" fillId="0" borderId="28" xfId="0" applyFont="1" applyBorder="1"/>
    <xf numFmtId="0" fontId="1" fillId="0" borderId="20" xfId="0" applyFont="1" applyBorder="1" applyAlignment="1">
      <alignment horizontal="left"/>
    </xf>
    <xf numFmtId="0" fontId="3" fillId="0" borderId="16" xfId="0" applyFont="1" applyBorder="1"/>
    <xf numFmtId="0" fontId="3" fillId="0" borderId="10" xfId="0" applyFont="1" applyBorder="1"/>
    <xf numFmtId="0" fontId="1" fillId="0" borderId="24" xfId="0" applyFont="1" applyBorder="1" applyAlignment="1">
      <alignment horizontal="left"/>
    </xf>
    <xf numFmtId="0" fontId="3" fillId="0" borderId="25" xfId="0" applyFont="1" applyBorder="1"/>
    <xf numFmtId="0" fontId="4" fillId="0" borderId="8" xfId="0" applyFont="1" applyBorder="1" applyAlignment="1">
      <alignment horizontal="center" vertical="center"/>
    </xf>
    <xf numFmtId="0" fontId="3" fillId="0" borderId="11" xfId="0" applyFont="1" applyBorder="1"/>
    <xf numFmtId="165" fontId="4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8" xfId="0" applyFont="1" applyBorder="1"/>
    <xf numFmtId="0" fontId="3" fillId="0" borderId="17" xfId="0" applyFont="1" applyBorder="1"/>
    <xf numFmtId="49" fontId="1" fillId="0" borderId="15" xfId="0" applyNumberFormat="1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2" xfId="0" applyFont="1" applyBorder="1"/>
    <xf numFmtId="49" fontId="1" fillId="0" borderId="15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 wrapText="1"/>
    </xf>
    <xf numFmtId="0" fontId="3" fillId="0" borderId="9" xfId="0" applyFont="1" applyBorder="1"/>
    <xf numFmtId="0" fontId="2" fillId="0" borderId="1" xfId="0" applyFont="1" applyBorder="1" applyAlignment="1">
      <alignment horizontal="center"/>
    </xf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2" fillId="0" borderId="4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3" fillId="0" borderId="7" xfId="0" applyFont="1" applyBorder="1"/>
    <xf numFmtId="164" fontId="1" fillId="0" borderId="1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abSelected="1" topLeftCell="B12" workbookViewId="0">
      <selection activeCell="G20" sqref="G20"/>
    </sheetView>
  </sheetViews>
  <sheetFormatPr baseColWidth="10" defaultColWidth="14.42578125" defaultRowHeight="15" customHeight="1" x14ac:dyDescent="0.2"/>
  <cols>
    <col min="1" max="1" width="10" hidden="1" customWidth="1"/>
    <col min="2" max="2" width="17.28515625" customWidth="1"/>
    <col min="3" max="3" width="38.85546875" customWidth="1"/>
    <col min="4" max="4" width="6.140625" customWidth="1"/>
    <col min="5" max="5" width="22.28515625" customWidth="1"/>
    <col min="6" max="6" width="15" customWidth="1"/>
    <col min="7" max="7" width="20.7109375" customWidth="1"/>
    <col min="8" max="9" width="9.140625" customWidth="1"/>
    <col min="10" max="26" width="10" customWidth="1"/>
  </cols>
  <sheetData>
    <row r="1" spans="1:26" ht="12.75" customHeight="1" x14ac:dyDescent="0.2">
      <c r="A1" s="1"/>
      <c r="B1" s="53" t="s">
        <v>0</v>
      </c>
      <c r="C1" s="42"/>
      <c r="D1" s="42"/>
      <c r="E1" s="42"/>
      <c r="F1" s="42"/>
      <c r="G1" s="4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54"/>
      <c r="C2" s="55"/>
      <c r="D2" s="55"/>
      <c r="E2" s="55"/>
      <c r="F2" s="55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25">
      <c r="A3" s="1"/>
      <c r="B3" s="57" t="s">
        <v>1</v>
      </c>
      <c r="C3" s="55"/>
      <c r="D3" s="55"/>
      <c r="E3" s="55"/>
      <c r="F3" s="55"/>
      <c r="G3" s="5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2"/>
      <c r="C4" s="3"/>
      <c r="D4" s="1"/>
      <c r="E4" s="1"/>
      <c r="F4" s="1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x14ac:dyDescent="0.25">
      <c r="A5" s="1"/>
      <c r="B5" s="5" t="s">
        <v>2</v>
      </c>
      <c r="C5" s="58" t="s">
        <v>29</v>
      </c>
      <c r="D5" s="59"/>
      <c r="E5" s="6" t="s">
        <v>3</v>
      </c>
      <c r="F5" s="60">
        <v>45005</v>
      </c>
      <c r="G5" s="4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7" t="s">
        <v>4</v>
      </c>
      <c r="C6" s="52"/>
      <c r="D6" s="36"/>
      <c r="E6" s="8" t="s">
        <v>5</v>
      </c>
      <c r="F6" s="52"/>
      <c r="G6" s="4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9"/>
      <c r="B7" s="6" t="s">
        <v>6</v>
      </c>
      <c r="C7" s="61" t="s">
        <v>30</v>
      </c>
      <c r="D7" s="48"/>
      <c r="E7" s="6" t="s">
        <v>7</v>
      </c>
      <c r="F7" s="47" t="s">
        <v>31</v>
      </c>
      <c r="G7" s="4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">
      <c r="A8" s="10"/>
      <c r="B8" s="8" t="s">
        <v>8</v>
      </c>
      <c r="C8" s="52"/>
      <c r="D8" s="49"/>
      <c r="E8" s="8" t="s">
        <v>9</v>
      </c>
      <c r="F8" s="35"/>
      <c r="G8" s="4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0"/>
      <c r="B9" s="6" t="s">
        <v>10</v>
      </c>
      <c r="C9" s="50" t="s">
        <v>25</v>
      </c>
      <c r="D9" s="48"/>
      <c r="E9" s="6" t="s">
        <v>11</v>
      </c>
      <c r="F9" s="47" t="s">
        <v>37</v>
      </c>
      <c r="G9" s="4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0"/>
      <c r="B10" s="8" t="s">
        <v>12</v>
      </c>
      <c r="C10" s="35"/>
      <c r="D10" s="49"/>
      <c r="E10" s="8" t="s">
        <v>12</v>
      </c>
      <c r="F10" s="35"/>
      <c r="G10" s="4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0"/>
      <c r="B11" s="5" t="s">
        <v>13</v>
      </c>
      <c r="C11" s="51" t="s">
        <v>35</v>
      </c>
      <c r="D11" s="48"/>
      <c r="E11" s="6" t="s">
        <v>13</v>
      </c>
      <c r="F11" s="62" t="s">
        <v>38</v>
      </c>
      <c r="G11" s="4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 x14ac:dyDescent="0.2">
      <c r="A12" s="10"/>
      <c r="B12" s="11" t="s">
        <v>14</v>
      </c>
      <c r="C12" s="52"/>
      <c r="D12" s="49"/>
      <c r="E12" s="8" t="s">
        <v>14</v>
      </c>
      <c r="F12" s="52"/>
      <c r="G12" s="4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0"/>
      <c r="B13" s="6" t="s">
        <v>15</v>
      </c>
      <c r="C13" s="50" t="s">
        <v>36</v>
      </c>
      <c r="D13" s="48"/>
      <c r="E13" s="12" t="s">
        <v>15</v>
      </c>
      <c r="F13" s="63" t="s">
        <v>32</v>
      </c>
      <c r="G13" s="4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0"/>
      <c r="B14" s="8" t="s">
        <v>16</v>
      </c>
      <c r="C14" s="35"/>
      <c r="D14" s="49"/>
      <c r="E14" s="13" t="s">
        <v>16</v>
      </c>
      <c r="F14" s="52"/>
      <c r="G14" s="4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1"/>
      <c r="B15" s="6" t="s">
        <v>17</v>
      </c>
      <c r="C15" s="50" t="s">
        <v>33</v>
      </c>
      <c r="D15" s="48"/>
      <c r="E15" s="12" t="s">
        <v>18</v>
      </c>
      <c r="F15" s="61" t="s">
        <v>34</v>
      </c>
      <c r="G15" s="4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2">
      <c r="A16" s="1"/>
      <c r="B16" s="8" t="s">
        <v>19</v>
      </c>
      <c r="C16" s="35"/>
      <c r="D16" s="49"/>
      <c r="E16" s="13" t="s">
        <v>20</v>
      </c>
      <c r="F16" s="44"/>
      <c r="G16" s="4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39" t="s">
        <v>21</v>
      </c>
      <c r="C17" s="41" t="s">
        <v>22</v>
      </c>
      <c r="D17" s="42"/>
      <c r="E17" s="43"/>
      <c r="F17" s="64" t="s">
        <v>23</v>
      </c>
      <c r="G17" s="64" t="s">
        <v>24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">
      <c r="A18" s="1"/>
      <c r="B18" s="40"/>
      <c r="C18" s="44"/>
      <c r="D18" s="45"/>
      <c r="E18" s="46"/>
      <c r="F18" s="40"/>
      <c r="G18" s="4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1"/>
      <c r="B19" s="14">
        <v>10</v>
      </c>
      <c r="C19" s="34" t="s">
        <v>40</v>
      </c>
      <c r="D19" s="35"/>
      <c r="E19" s="36"/>
      <c r="F19" s="15">
        <v>1</v>
      </c>
      <c r="G19" s="16">
        <f t="shared" ref="G19:G23" si="0">B19*F19</f>
        <v>10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1"/>
      <c r="B20" s="17">
        <v>40</v>
      </c>
      <c r="C20" s="37" t="s">
        <v>39</v>
      </c>
      <c r="D20" s="38"/>
      <c r="E20" s="31"/>
      <c r="F20" s="18">
        <v>0.25</v>
      </c>
      <c r="G20" s="16">
        <f t="shared" si="0"/>
        <v>10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7"/>
      <c r="C21" s="37"/>
      <c r="D21" s="38"/>
      <c r="E21" s="31"/>
      <c r="F21" s="18"/>
      <c r="G21" s="16">
        <f t="shared" si="0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7"/>
      <c r="C22" s="37"/>
      <c r="D22" s="38"/>
      <c r="E22" s="31"/>
      <c r="F22" s="18"/>
      <c r="G22" s="16">
        <f t="shared" si="0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7"/>
      <c r="C23" s="37"/>
      <c r="D23" s="38"/>
      <c r="E23" s="31"/>
      <c r="F23" s="18"/>
      <c r="G23" s="16">
        <f t="shared" si="0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7"/>
      <c r="C24" s="37"/>
      <c r="D24" s="38"/>
      <c r="E24" s="31"/>
      <c r="F24" s="18"/>
      <c r="G24" s="16"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7"/>
      <c r="C25" s="37"/>
      <c r="D25" s="38"/>
      <c r="E25" s="31"/>
      <c r="F25" s="18"/>
      <c r="G25" s="16">
        <f t="shared" ref="G25:G33" si="1">B25*F25</f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7"/>
      <c r="C26" s="37"/>
      <c r="D26" s="38"/>
      <c r="E26" s="31"/>
      <c r="F26" s="18"/>
      <c r="G26" s="16">
        <f t="shared" si="1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7"/>
      <c r="C27" s="34"/>
      <c r="D27" s="35"/>
      <c r="E27" s="36"/>
      <c r="F27" s="18"/>
      <c r="G27" s="16">
        <f t="shared" si="1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/>
      <c r="B28" s="17"/>
      <c r="C28" s="34"/>
      <c r="D28" s="35"/>
      <c r="E28" s="36"/>
      <c r="F28" s="18"/>
      <c r="G28" s="16">
        <f t="shared" si="1"/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"/>
      <c r="B29" s="17"/>
      <c r="C29" s="34"/>
      <c r="D29" s="35"/>
      <c r="E29" s="36"/>
      <c r="F29" s="18"/>
      <c r="G29" s="16">
        <f t="shared" si="1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"/>
      <c r="B30" s="17"/>
      <c r="C30" s="34"/>
      <c r="D30" s="35"/>
      <c r="E30" s="36"/>
      <c r="F30" s="18"/>
      <c r="G30" s="16">
        <f t="shared" si="1"/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17"/>
      <c r="C31" s="34"/>
      <c r="D31" s="35"/>
      <c r="E31" s="36"/>
      <c r="F31" s="18"/>
      <c r="G31" s="16">
        <f t="shared" si="1"/>
        <v>0</v>
      </c>
      <c r="H31" s="1"/>
      <c r="I31" s="1" t="s">
        <v>25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 x14ac:dyDescent="0.25">
      <c r="A32" s="1"/>
      <c r="B32" s="17"/>
      <c r="C32" s="34"/>
      <c r="D32" s="35"/>
      <c r="E32" s="36"/>
      <c r="F32" s="19"/>
      <c r="G32" s="16">
        <f t="shared" si="1"/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 x14ac:dyDescent="0.25">
      <c r="A33" s="1"/>
      <c r="B33" s="17"/>
      <c r="C33" s="34"/>
      <c r="D33" s="35"/>
      <c r="E33" s="36"/>
      <c r="F33" s="20"/>
      <c r="G33" s="16">
        <f t="shared" si="1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 x14ac:dyDescent="0.25">
      <c r="A34" s="1"/>
      <c r="B34" s="17"/>
      <c r="C34" s="21"/>
      <c r="D34" s="22"/>
      <c r="E34" s="23"/>
      <c r="F34" s="24" t="s">
        <v>26</v>
      </c>
      <c r="G34" s="25">
        <f>SUM(G19:G33)</f>
        <v>20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"/>
      <c r="B35" s="17" t="s">
        <v>27</v>
      </c>
      <c r="C35" s="30" t="str">
        <f>C7</f>
        <v>ORVIS COMPANY</v>
      </c>
      <c r="D35" s="31"/>
      <c r="E35" s="26" t="s">
        <v>5</v>
      </c>
      <c r="F35" s="32">
        <f>F5</f>
        <v>45005</v>
      </c>
      <c r="G35" s="3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">
      <c r="A36" s="1"/>
      <c r="B36" s="27"/>
      <c r="C36" s="28"/>
      <c r="D36" s="28"/>
      <c r="E36" s="28" t="s">
        <v>28</v>
      </c>
      <c r="F36" s="28"/>
      <c r="G36" s="2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 t="s">
        <v>25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5">
    <mergeCell ref="F17:F18"/>
    <mergeCell ref="G17:G18"/>
    <mergeCell ref="B1:G2"/>
    <mergeCell ref="B3:G3"/>
    <mergeCell ref="C5:D6"/>
    <mergeCell ref="F5:G6"/>
    <mergeCell ref="C7:D8"/>
    <mergeCell ref="F7:G8"/>
    <mergeCell ref="F9:G10"/>
    <mergeCell ref="C9:D10"/>
    <mergeCell ref="C11:D12"/>
    <mergeCell ref="C13:D14"/>
    <mergeCell ref="C15:D16"/>
    <mergeCell ref="F11:G12"/>
    <mergeCell ref="F13:G14"/>
    <mergeCell ref="F15:G16"/>
    <mergeCell ref="B17:B18"/>
    <mergeCell ref="C17:E18"/>
    <mergeCell ref="C19:E19"/>
    <mergeCell ref="C20:E20"/>
    <mergeCell ref="C21:E21"/>
    <mergeCell ref="C22:E22"/>
    <mergeCell ref="C23:E23"/>
    <mergeCell ref="C24:E24"/>
    <mergeCell ref="C25:E25"/>
    <mergeCell ref="C26:E26"/>
    <mergeCell ref="C35:D35"/>
    <mergeCell ref="F35:G35"/>
    <mergeCell ref="C27:E27"/>
    <mergeCell ref="C28:E28"/>
    <mergeCell ref="C29:E29"/>
    <mergeCell ref="C30:E30"/>
    <mergeCell ref="C31:E31"/>
    <mergeCell ref="C32:E32"/>
    <mergeCell ref="C33:E33"/>
  </mergeCells>
  <printOptions horizontalCentered="1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42578125" defaultRowHeight="15" customHeight="1" x14ac:dyDescent="0.2"/>
  <cols>
    <col min="1" max="6" width="9.140625" customWidth="1"/>
    <col min="7" max="26" width="10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42578125" defaultRowHeight="15" customHeight="1" x14ac:dyDescent="0.2"/>
  <cols>
    <col min="1" max="6" width="9.140625" customWidth="1"/>
    <col min="7" max="26" width="10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Abugarade</dc:creator>
  <cp:lastModifiedBy>Gustavo Abugarade</cp:lastModifiedBy>
  <dcterms:created xsi:type="dcterms:W3CDTF">2023-03-20T20:27:37Z</dcterms:created>
  <dcterms:modified xsi:type="dcterms:W3CDTF">2023-03-20T20:28:10Z</dcterms:modified>
</cp:coreProperties>
</file>